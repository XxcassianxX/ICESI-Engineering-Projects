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Alejandro\Downloads\"/>
    </mc:Choice>
  </mc:AlternateContent>
  <xr:revisionPtr revIDLastSave="0" documentId="8_{8D857D50-45CD-45F4-93FB-0763DFD4DDB4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13" i="5"/>
</calcChain>
</file>

<file path=xl/sharedStrings.xml><?xml version="1.0" encoding="utf-8"?>
<sst xmlns="http://schemas.openxmlformats.org/spreadsheetml/2006/main" count="187" uniqueCount="118">
  <si>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</si>
  <si>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</si>
  <si>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</si>
  <si>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</si>
  <si>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</si>
  <si>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</si>
  <si>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</si>
  <si>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</si>
  <si>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</si>
  <si>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  <scheme val="minor"/>
      </rPr>
      <t>Califícate del 1 al 5, donde:
4.5-5 significa “Sobresaliente”.</t>
    </r>
    <r>
      <rPr>
        <sz val="11"/>
        <color rgb="FF000000"/>
        <rFont val="Aptos Narrow"/>
        <scheme val="minor"/>
      </rPr>
      <t xml:space="preserve"> Tienes un dominio sólido y lo aplicas con seguridad.
</t>
    </r>
    <r>
      <rPr>
        <b/>
        <sz val="11"/>
        <color rgb="FF000000"/>
        <rFont val="Aptos Narrow"/>
        <scheme val="minor"/>
      </rPr>
      <t xml:space="preserve">3.8- 4.4 significa “Proficiente”. </t>
    </r>
    <r>
      <rPr>
        <sz val="11"/>
        <color rgb="FF000000"/>
        <rFont val="Aptos Narrow"/>
        <scheme val="minor"/>
      </rPr>
      <t xml:space="preserve">Manejas la habilidad de forma adecuada y consistente.
</t>
    </r>
    <r>
      <rPr>
        <b/>
        <sz val="11"/>
        <color rgb="FF000000"/>
        <rFont val="Aptos Narrow"/>
        <scheme val="minor"/>
      </rPr>
      <t xml:space="preserve">3.0- 3.7 significa “En desarrollo”. </t>
    </r>
    <r>
      <rPr>
        <sz val="11"/>
        <color rgb="FF000000"/>
        <rFont val="Aptos Narrow"/>
        <scheme val="minor"/>
      </rPr>
      <t xml:space="preserve">Tienes avances, pero aún necesitas mejorar.
</t>
    </r>
    <r>
      <rPr>
        <b/>
        <sz val="11"/>
        <color rgb="FF000000"/>
        <rFont val="Aptos Narrow"/>
        <scheme val="minor"/>
      </rPr>
      <t>0-2.9 significa “Básico”.</t>
    </r>
    <r>
      <rPr>
        <sz val="11"/>
        <color rgb="FF000000"/>
        <rFont val="Aptos Narrow"/>
        <scheme val="minor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</si>
  <si>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</si>
  <si>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</si>
  <si>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</si>
  <si>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</si>
  <si>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</si>
  <si>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</si>
  <si>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</si>
  <si>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</si>
  <si>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</si>
  <si>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</si>
  <si>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</si>
  <si>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</si>
  <si>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</si>
  <si>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</si>
  <si>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</si>
  <si>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</si>
  <si>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</si>
  <si>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</si>
  <si>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</si>
  <si>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</si>
  <si>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</si>
  <si>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</si>
  <si>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</si>
  <si>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</si>
  <si>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</si>
  <si>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</si>
  <si>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</si>
  <si>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</si>
  <si>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</si>
  <si>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</si>
  <si>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</si>
  <si>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</si>
  <si>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</si>
  <si>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</si>
  <si>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</si>
  <si>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</si>
  <si>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</si>
  <si>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</si>
  <si>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</si>
  <si>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</si>
  <si>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</si>
  <si>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</si>
  <si>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</si>
  <si>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</si>
  <si>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</si>
  <si>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</si>
  <si>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</si>
  <si>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</si>
  <si>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</si>
  <si>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Grand Total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</si>
  <si>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</si>
  <si>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</si>
  <si>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</si>
  <si>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</si>
  <si>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</si>
  <si>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</si>
  <si>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</si>
  <si>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</si>
  <si>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</si>
  <si>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4.5</t>
  </si>
  <si>
    <t>Internet</t>
  </si>
  <si>
    <t>Computador y profesores</t>
  </si>
  <si>
    <t>Computador</t>
  </si>
  <si>
    <t>Lograr mayor claridad al trabajar con mi equipo y mejorar la coordinación</t>
  </si>
  <si>
    <t>Organizar mejor las reuniones y definir tareas claras dentro del equipo</t>
  </si>
  <si>
    <t>Mi equipo de trabajo</t>
  </si>
  <si>
    <t>Se organizaron mejor las reuniones del proyecto</t>
  </si>
  <si>
    <t>Sentirme más seguro al presentar avances del proyecto</t>
  </si>
  <si>
    <t>Revisar los trabajos antes de entregarlos y pedir retroalimentación</t>
  </si>
  <si>
    <t>He presentado avances con más seguridad</t>
  </si>
  <si>
    <t>Diseño de BD – Modelo Relacional</t>
  </si>
  <si>
    <t>Aprender a diseñar correctamente las tablas de la base de datos</t>
  </si>
  <si>
    <t>Revisar teoría de bases de datos y corregir el modelo relacional del proyecto</t>
  </si>
  <si>
    <t>Computador y material de clase</t>
  </si>
  <si>
    <t>Se mejoró el modelo de la base de datos</t>
  </si>
  <si>
    <t>Diseño de pruebas (caja negra)</t>
  </si>
  <si>
    <t>Aplicar correctamente pruebas al sistema</t>
  </si>
  <si>
    <t>Practicar creando casos de prueba para las funcionalidades del sistema</t>
  </si>
  <si>
    <t>Se realizaron pruebas iniciales del sistema</t>
  </si>
  <si>
    <t>Aprender a usar correctamente el framework para el proyecto</t>
  </si>
  <si>
    <t>Crear vistas, modelos y templates para la aplicación</t>
  </si>
  <si>
    <t>Internet, documentación y computador</t>
  </si>
  <si>
    <t>Se avanzó en la estructura de la aplicación</t>
  </si>
  <si>
    <t>Organizar mejor las actividades del proyecto</t>
  </si>
  <si>
    <t>Crear cronograma semanal de trabajo</t>
  </si>
  <si>
    <t>Calendario y computador</t>
  </si>
  <si>
    <t>Se estableció un horario de trabajo</t>
  </si>
  <si>
    <t>Mejorar la forma de presentar el proyecto</t>
  </si>
  <si>
    <t>Practicar exposiciones del proyecto</t>
  </si>
  <si>
    <t>Equipo de trabajo</t>
  </si>
  <si>
    <t>Se practicó la explicación del proyecto</t>
  </si>
  <si>
    <t>Aprender a usar la herramienta para organizar tareas</t>
  </si>
  <si>
    <t>Crear tareas y hacer seguimiento en Jira</t>
  </si>
  <si>
    <t>Se empezaron a registrar tareas</t>
  </si>
  <si>
    <t>Pruebas automatizadas con Selenium</t>
  </si>
  <si>
    <t>Automatizar pruebas del sistema</t>
  </si>
  <si>
    <t>Crear scripts de prueba para funcionalidades principales</t>
  </si>
  <si>
    <t>Se investigó cómo automatizar pruebas</t>
  </si>
  <si>
    <t>Mejorar el desarrollo del sistema</t>
  </si>
  <si>
    <t>Practicar programación y revisar errores del código</t>
  </si>
  <si>
    <t>Internet y computador</t>
  </si>
  <si>
    <t>Se mejoró parte del código del proyecto</t>
  </si>
  <si>
    <t>Columna1</t>
  </si>
  <si>
    <t>Columna2</t>
  </si>
  <si>
    <t>Columna3</t>
  </si>
  <si>
    <t>Columna4</t>
  </si>
  <si>
    <t>Columna5</t>
  </si>
  <si>
    <t>Columna6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</si>
</sst>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2" fillId="0" borderId="0" xfId="0" applyFont="1"/>
    <xf numFmtId="0" fontId="20" fillId="0" borderId="0" xfId="0" applyFont="1"/>
    <xf numFmtId="0" fontId="8" fillId="7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3" fillId="0" borderId="0" xfId="0" applyFont="1" applyAlignment="1">
      <alignment horizontal="left" wrapText="1"/>
    </xf>
    <xf numFmtId="14" fontId="0" fillId="0" borderId="14" xfId="0" applyNumberForma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2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9" borderId="0" xfId="0" applyFill="1" applyAlignment="1">
      <alignment vertical="center" wrapText="1"/>
    </xf>
    <xf numFmtId="14" fontId="0" fillId="9" borderId="0" xfId="0" applyNumberFormat="1" applyFill="1" applyAlignment="1">
      <alignment vertical="center" wrapText="1"/>
    </xf>
  </cellXfs>
  <cellStyles count="1">
    <cellStyle name="Normal" xfId="0" builtinId="0"/>
  </cellStyles>
  <dxfs count="16"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numFmt numFmtId="19" formatCode="d/mm/yyyy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Medium9">
    <tableStyle name="Estilo de tabla 1" pivot="0" count="0" xr9:uid="{D19338D0-6C43-49F0-B50B-0A21B4AD8568}"/>
  </tableStyles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4</c:v>
                </c:pt>
                <c:pt idx="1">
                  <c:v>3</c:v>
                </c:pt>
                <c:pt idx="2">
                  <c:v>4.5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4.5</c:v>
                </c:pt>
                <c:pt idx="7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4.5</c:v>
                </c:pt>
                <c:pt idx="7">
                  <c:v>5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-180975</xdr:colOff>
      <xdr:row>0</xdr:row>
      <xdr:rowOff>-2476500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A521E-AF10-4B76-8451-6FFD85F61D78}"/>
            </a:ext>
            <a:ext uri="{147F2762-F138-4A5C-976F-8EAC2B608ADB}">
              <a16:predDERef xmlns:a16="http://schemas.microsoft.com/office/drawing/2014/main" pred="{3181EB45-BA31-48A7-9370-8DAEF9E1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161925</xdr:colOff>
      <xdr:row>29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9E3BB-2C7C-43B3-BAFB-9054666936C8}"/>
            </a:ext>
            <a:ext uri="{147F2762-F138-4A5C-976F-8EAC2B608ADB}">
              <a16:predDERef xmlns:a16="http://schemas.microsoft.com/office/drawing/2014/main" pred="{2E4A521E-AF10-4B76-8451-6FFD85F6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9525</xdr:rowOff>
    </xdr:from>
    <xdr:to>
      <xdr:col>2</xdr:col>
      <xdr:colOff>3057525</xdr:colOff>
      <xdr:row>9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8</xdr:row>
      <xdr:rowOff>95250</xdr:rowOff>
    </xdr:from>
    <xdr:to>
      <xdr:col>5</xdr:col>
      <xdr:colOff>238125</xdr:colOff>
      <xdr:row>10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65" createdVersion="8" refreshedVersion="8" minRefreshableVersion="3" recordCount="29" xr:uid="{0BFE87FA-6F0B-494E-BF1B-242B6A8C320A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n v="3"/>
    <x v="0"/>
  </r>
  <r>
    <x v="1"/>
    <n v="3"/>
    <n v="5"/>
    <x v="1"/>
  </r>
  <r>
    <x v="2"/>
    <n v="5"/>
    <n v="5"/>
    <x v="1"/>
  </r>
  <r>
    <x v="3"/>
    <n v="0"/>
    <n v="0"/>
    <x v="2"/>
  </r>
  <r>
    <x v="4"/>
    <n v="5"/>
    <n v="0"/>
    <x v="3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2"/>
  </r>
  <r>
    <x v="10"/>
    <n v="3"/>
    <n v="0"/>
    <x v="0"/>
  </r>
  <r>
    <x v="11"/>
    <n v="5"/>
    <n v="0"/>
    <x v="3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2"/>
  </r>
  <r>
    <x v="16"/>
    <n v="0"/>
    <n v="0"/>
    <x v="2"/>
  </r>
  <r>
    <x v="17"/>
    <n v="5"/>
    <n v="5"/>
    <x v="1"/>
  </r>
  <r>
    <x v="18"/>
    <n v="3"/>
    <n v="3"/>
    <x v="0"/>
  </r>
  <r>
    <x v="19"/>
    <n v="3"/>
    <n v="0"/>
    <x v="0"/>
  </r>
  <r>
    <x v="20"/>
    <n v="5"/>
    <n v="5"/>
    <x v="1"/>
  </r>
  <r>
    <x v="21"/>
    <n v="3"/>
    <n v="3"/>
    <x v="0"/>
  </r>
  <r>
    <x v="22"/>
    <n v="5"/>
    <n v="0"/>
    <x v="3"/>
  </r>
  <r>
    <x v="23"/>
    <n v="5"/>
    <n v="0"/>
    <x v="3"/>
  </r>
  <r>
    <x v="24"/>
    <n v="0"/>
    <n v="5"/>
    <x v="1"/>
  </r>
  <r>
    <x v="25"/>
    <n v="5"/>
    <n v="0"/>
    <x v="3"/>
  </r>
  <r>
    <x v="26"/>
    <n v="0"/>
    <n v="5"/>
    <x v="1"/>
  </r>
  <r>
    <x v="27"/>
    <n v="0"/>
    <n v="3"/>
    <x v="2"/>
  </r>
  <r>
    <x v="28"/>
    <n v="5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0"/>
    </i>
    <i r="1">
      <x v="13"/>
    </i>
    <i r="1">
      <x v="16"/>
    </i>
    <i r="1">
      <x v="18"/>
    </i>
    <i r="1">
      <x v="21"/>
    </i>
    <i>
      <x v="3"/>
      <x v="6"/>
    </i>
    <i r="1">
      <x v="11"/>
    </i>
    <i r="1">
      <x v="20"/>
    </i>
    <i r="1">
      <x v="26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14:D22" totalsRowShown="0" headerRowDxfId="15" dataDxfId="14">
  <autoFilter ref="C14:D22" xr:uid="{857CAA7F-944A-4345-92D0-F6E9A79F99D4}"/>
  <tableColumns count="2">
    <tableColumn id="1" xr3:uid="{4C64504B-5E46-43B3-A9EC-1EE9276EE18E}" name="Análisis y Diseño" dataDxfId="13"/>
    <tableColumn id="2" xr3:uid="{1C41D1CA-605D-4008-AB1B-B62357EFAFDD}" name="Autoevaluación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40:D49" totalsRowShown="0" headerRowDxfId="11" dataDxfId="10">
  <autoFilter ref="C40:D49" xr:uid="{4F0B5A59-A1DB-4EA0-AC63-C796EAB48BD9}"/>
  <tableColumns count="2">
    <tableColumn id="1" xr3:uid="{B1E36C6E-03EA-47A7-AB53-E50D831C2B7C}" name="Construcción y Gestión de proyectos" dataDxfId="9"/>
    <tableColumn id="2" xr3:uid="{D9364B35-12B1-4934-BE81-407D91CD3BA3}" name="Autoevaluación" dataDxfId="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F593B0-0BAF-451F-A9DD-8FF4A27F122F}" name="Tabla8" displayName="Tabla8" ref="B6:G16" totalsRowShown="0" headerRowDxfId="7" dataDxfId="1">
  <autoFilter ref="B6:G16" xr:uid="{FAF593B0-0BAF-451F-A9DD-8FF4A27F122F}"/>
  <tableColumns count="6">
    <tableColumn id="1" xr3:uid="{4449BAD7-9CB5-4B4D-85CB-8D0DB3FF508E}" name="Columna1" dataDxfId="6"/>
    <tableColumn id="2" xr3:uid="{0F8F7A83-803E-4464-A0C6-E98F39148E22}" name="Columna2" dataDxfId="5"/>
    <tableColumn id="3" xr3:uid="{C708F764-E38F-4C85-827A-267278149842}" name="Columna3" dataDxfId="4"/>
    <tableColumn id="4" xr3:uid="{F843A5CF-C55F-4FF6-838F-558C197213F3}" name="Columna4" dataDxfId="3"/>
    <tableColumn id="5" xr3:uid="{68948A2A-11C6-4CB9-A03C-30296D923E36}" name="Columna5" dataDxfId="2"/>
    <tableColumn id="6" xr3:uid="{DEC04458-FCF7-43CE-8E71-57E6547A2CB9}" name="Columna6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workbookViewId="0">
      <selection activeCell="B6" sqref="B6"/>
    </sheetView>
  </sheetViews>
  <sheetFormatPr baseColWidth="10" defaultColWidth="8.88671875" defaultRowHeight="14.4" x14ac:dyDescent="0.3"/>
  <cols>
    <col min="2" max="2" width="154.5546875" customWidth="1"/>
  </cols>
  <sheetData>
    <row r="1" spans="1:6" x14ac:dyDescent="0.3">
      <c r="A1" s="35"/>
      <c r="B1" s="13"/>
    </row>
    <row r="2" spans="1:6" ht="47.4" x14ac:dyDescent="0.9">
      <c r="B2" s="28" t="s">
        <v>0</v>
      </c>
      <c r="D2" s="29"/>
      <c r="E2" s="29"/>
      <c r="F2" s="29"/>
    </row>
    <row r="4" spans="1:6" ht="45.6" x14ac:dyDescent="0.3">
      <c r="B4" s="32" t="s">
        <v>1</v>
      </c>
    </row>
    <row r="5" spans="1:6" ht="15.6" x14ac:dyDescent="0.3">
      <c r="B5" s="32"/>
    </row>
    <row r="6" spans="1:6" ht="15.6" x14ac:dyDescent="0.3">
      <c r="B6" s="33" t="s">
        <v>2</v>
      </c>
    </row>
    <row r="7" spans="1:6" ht="34.200000000000003" x14ac:dyDescent="0.55000000000000004">
      <c r="B7" s="33" t="s">
        <v>3</v>
      </c>
      <c r="C7" s="30"/>
    </row>
    <row r="8" spans="1:6" ht="28.8" x14ac:dyDescent="0.55000000000000004">
      <c r="B8" s="33" t="s">
        <v>4</v>
      </c>
      <c r="C8" s="30"/>
    </row>
    <row r="9" spans="1:6" ht="28.8" x14ac:dyDescent="0.55000000000000004">
      <c r="B9" s="33" t="s">
        <v>5</v>
      </c>
      <c r="C9" s="30"/>
    </row>
    <row r="10" spans="1:6" ht="15.6" x14ac:dyDescent="0.3">
      <c r="B10" s="33" t="s">
        <v>6</v>
      </c>
    </row>
    <row r="11" spans="1:6" ht="15.6" x14ac:dyDescent="0.3">
      <c r="B11" s="31"/>
    </row>
    <row r="12" spans="1:6" ht="30.6" x14ac:dyDescent="0.3">
      <c r="B12" s="32" t="s">
        <v>7</v>
      </c>
    </row>
    <row r="13" spans="1:6" ht="15.6" x14ac:dyDescent="0.3">
      <c r="B13" s="31"/>
    </row>
    <row r="14" spans="1:6" ht="15.6" x14ac:dyDescent="0.3">
      <c r="B14" s="34"/>
    </row>
    <row r="15" spans="1:6" ht="15.6" x14ac:dyDescent="0.3">
      <c r="B15" s="34"/>
    </row>
    <row r="16" spans="1:6" ht="15.6" x14ac:dyDescent="0.3">
      <c r="B16" s="34"/>
    </row>
    <row r="17" spans="2:2" ht="15.6" x14ac:dyDescent="0.3">
      <c r="B17" s="34"/>
    </row>
    <row r="18" spans="2:2" ht="15.6" x14ac:dyDescent="0.3">
      <c r="B18" s="34"/>
    </row>
    <row r="19" spans="2:2" ht="15.6" x14ac:dyDescent="0.3">
      <c r="B19" s="31"/>
    </row>
    <row r="21" spans="2:2" x14ac:dyDescent="0.3">
      <c r="B21" s="35" t="s">
        <v>8</v>
      </c>
    </row>
    <row r="52" spans="1:2" x14ac:dyDescent="0.3">
      <c r="A52" s="35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32:Q57"/>
  <sheetViews>
    <sheetView topLeftCell="D34" workbookViewId="0">
      <selection activeCell="E54" sqref="E54"/>
    </sheetView>
  </sheetViews>
  <sheetFormatPr baseColWidth="10" defaultColWidth="8.88671875" defaultRowHeight="14.4" x14ac:dyDescent="0.3"/>
  <cols>
    <col min="1" max="1" width="5.5546875" customWidth="1"/>
    <col min="2" max="2" width="5.6640625" customWidth="1"/>
    <col min="3" max="3" width="31.88671875" bestFit="1" customWidth="1"/>
    <col min="4" max="4" width="41.5546875" customWidth="1"/>
    <col min="5" max="5" width="14.88671875" bestFit="1" customWidth="1"/>
  </cols>
  <sheetData>
    <row r="32" spans="2:17" ht="15" customHeight="1" x14ac:dyDescent="0.3">
      <c r="B32" s="9"/>
      <c r="C32" s="50" t="s">
        <v>9</v>
      </c>
      <c r="D32" s="51"/>
      <c r="E32" s="51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3">
      <c r="B33" s="9"/>
      <c r="C33" s="51"/>
      <c r="D33" s="51"/>
      <c r="E33" s="51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3">
      <c r="B34" s="9"/>
      <c r="C34" s="51"/>
      <c r="D34" s="51"/>
      <c r="E34" s="51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3">
      <c r="B35" s="9"/>
      <c r="C35" s="51"/>
      <c r="D35" s="51"/>
      <c r="E35" s="51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3">
      <c r="B36" s="9"/>
      <c r="C36" s="51"/>
      <c r="D36" s="51"/>
      <c r="E36" s="51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3">
      <c r="B37" s="9"/>
      <c r="C37" s="51"/>
      <c r="D37" s="51"/>
      <c r="E37" s="51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3">
      <c r="B38" s="9"/>
      <c r="C38" s="51"/>
      <c r="D38" s="51"/>
      <c r="E38" s="51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3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3">
      <c r="B41" s="9"/>
      <c r="C41" s="47" t="s">
        <v>12</v>
      </c>
      <c r="D41" s="10" t="s">
        <v>13</v>
      </c>
      <c r="E41" s="11" t="s">
        <v>69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3">
      <c r="B42" s="9"/>
      <c r="C42" s="48"/>
      <c r="D42" s="10" t="s">
        <v>14</v>
      </c>
      <c r="E42" s="11">
        <v>5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3">
      <c r="B43" s="9"/>
      <c r="C43" s="48"/>
      <c r="D43" s="10" t="s">
        <v>15</v>
      </c>
      <c r="E43" s="11">
        <v>5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3">
      <c r="B44" s="9"/>
      <c r="C44" s="48"/>
      <c r="D44" s="10" t="s">
        <v>16</v>
      </c>
      <c r="E44" s="11" t="s">
        <v>69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3">
      <c r="B45" s="9"/>
      <c r="C45" s="48"/>
      <c r="D45" s="10" t="s">
        <v>17</v>
      </c>
      <c r="E45" s="11" t="s">
        <v>69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 x14ac:dyDescent="0.3">
      <c r="B46" s="9"/>
      <c r="C46" s="48"/>
      <c r="D46" s="10" t="s">
        <v>18</v>
      </c>
      <c r="E46" s="11">
        <v>4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3">
      <c r="B47" s="9"/>
      <c r="C47" s="49"/>
      <c r="D47" s="10" t="s">
        <v>19</v>
      </c>
      <c r="E47" s="11" t="s">
        <v>69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 x14ac:dyDescent="0.3">
      <c r="B48" s="9"/>
      <c r="C48" s="47" t="s">
        <v>20</v>
      </c>
      <c r="D48" s="12" t="s">
        <v>21</v>
      </c>
      <c r="E48" s="11" t="s">
        <v>69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3">
      <c r="B49" s="9"/>
      <c r="C49" s="49"/>
      <c r="D49" s="12" t="s">
        <v>22</v>
      </c>
      <c r="E49" s="11">
        <v>4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3">
      <c r="B50" s="9"/>
      <c r="C50" s="47" t="s">
        <v>23</v>
      </c>
      <c r="D50" s="12" t="s">
        <v>24</v>
      </c>
      <c r="E50" s="11">
        <v>5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3">
      <c r="B51" s="9"/>
      <c r="C51" s="48"/>
      <c r="D51" s="12" t="s">
        <v>25</v>
      </c>
      <c r="E51" s="11">
        <v>5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3">
      <c r="B52" s="9"/>
      <c r="C52" s="49"/>
      <c r="D52" s="12" t="s">
        <v>26</v>
      </c>
      <c r="E52" s="11" t="s">
        <v>69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41:E52" name="Rango1"/>
  </protectedRanges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7"/>
  <sheetViews>
    <sheetView topLeftCell="C1" workbookViewId="0">
      <selection activeCell="D49" sqref="D49"/>
    </sheetView>
  </sheetViews>
  <sheetFormatPr baseColWidth="10" defaultColWidth="8.88671875" defaultRowHeight="14.4" x14ac:dyDescent="0.3"/>
  <cols>
    <col min="1" max="1" width="4.44140625" customWidth="1"/>
    <col min="2" max="2" width="5.33203125" customWidth="1"/>
    <col min="3" max="3" width="50" bestFit="1" customWidth="1"/>
    <col min="4" max="4" width="17.21875" bestFit="1" customWidth="1"/>
  </cols>
  <sheetData>
    <row r="2" spans="2:17" ht="15" customHeight="1" x14ac:dyDescent="0.3">
      <c r="B2" s="52" t="s">
        <v>9</v>
      </c>
      <c r="C2" s="53"/>
      <c r="D2" s="53"/>
      <c r="E2" s="44"/>
    </row>
    <row r="3" spans="2:17" x14ac:dyDescent="0.3">
      <c r="B3" s="53"/>
      <c r="C3" s="53"/>
      <c r="D3" s="53"/>
      <c r="E3" s="44"/>
    </row>
    <row r="4" spans="2:17" x14ac:dyDescent="0.3">
      <c r="B4" s="53"/>
      <c r="C4" s="53"/>
      <c r="D4" s="53"/>
      <c r="E4" s="44"/>
    </row>
    <row r="5" spans="2:17" x14ac:dyDescent="0.3">
      <c r="B5" s="53"/>
      <c r="C5" s="53"/>
      <c r="D5" s="53"/>
      <c r="E5" s="44"/>
    </row>
    <row r="6" spans="2:17" x14ac:dyDescent="0.3">
      <c r="B6" s="53"/>
      <c r="C6" s="53"/>
      <c r="D6" s="53"/>
      <c r="E6" s="44"/>
    </row>
    <row r="7" spans="2:17" x14ac:dyDescent="0.3">
      <c r="B7" s="53"/>
      <c r="C7" s="53"/>
      <c r="D7" s="53"/>
      <c r="E7" s="44"/>
    </row>
    <row r="8" spans="2:17" x14ac:dyDescent="0.3">
      <c r="B8" s="53"/>
      <c r="C8" s="53"/>
      <c r="D8" s="53"/>
      <c r="E8" s="44"/>
    </row>
    <row r="9" spans="2:17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3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3">
      <c r="B15" s="3"/>
      <c r="C15" s="4" t="s">
        <v>28</v>
      </c>
      <c r="D15" s="5">
        <v>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3">
      <c r="B16" s="3"/>
      <c r="C16" s="4" t="s">
        <v>29</v>
      </c>
      <c r="D16" s="5">
        <v>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">
      <c r="B17" s="3"/>
      <c r="C17" s="4" t="s">
        <v>30</v>
      </c>
      <c r="D17" s="5">
        <v>4.5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">
      <c r="B18" s="3"/>
      <c r="C18" s="4" t="s">
        <v>31</v>
      </c>
      <c r="D18" s="5">
        <v>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3">
      <c r="B19" s="3"/>
      <c r="C19" s="4" t="s">
        <v>32</v>
      </c>
      <c r="D19" s="5">
        <v>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3">
      <c r="B20" s="3"/>
      <c r="C20" s="4" t="s">
        <v>33</v>
      </c>
      <c r="D20" s="5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3">
      <c r="B21" s="3"/>
      <c r="C21" s="4" t="s">
        <v>34</v>
      </c>
      <c r="D21" s="5">
        <v>4.5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3">
      <c r="B22" s="3"/>
      <c r="C22" s="4" t="s">
        <v>35</v>
      </c>
      <c r="D22" s="5">
        <v>4.5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 x14ac:dyDescent="0.3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3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3">
      <c r="B41" s="6"/>
      <c r="C41" s="7" t="s">
        <v>37</v>
      </c>
      <c r="D41" s="8">
        <v>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3">
      <c r="B42" s="6"/>
      <c r="C42" s="7" t="s">
        <v>38</v>
      </c>
      <c r="D42" s="8">
        <v>1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3">
      <c r="B43" s="6"/>
      <c r="C43" s="7" t="s">
        <v>39</v>
      </c>
      <c r="D43" s="8">
        <v>4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3">
      <c r="B44" s="6"/>
      <c r="C44" s="7" t="s">
        <v>40</v>
      </c>
      <c r="D44" s="8">
        <v>4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3">
      <c r="B45" s="6"/>
      <c r="C45" s="7" t="s">
        <v>41</v>
      </c>
      <c r="D45" s="8">
        <v>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3">
      <c r="B46" s="6"/>
      <c r="C46" s="7" t="s">
        <v>42</v>
      </c>
      <c r="D46" s="8">
        <v>1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3">
      <c r="B47" s="6"/>
      <c r="C47" s="7" t="s">
        <v>43</v>
      </c>
      <c r="D47" s="8">
        <v>4.5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3">
      <c r="B48" s="6"/>
      <c r="C48" s="7" t="s">
        <v>44</v>
      </c>
      <c r="D48" s="8">
        <v>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3">
      <c r="B49" s="6"/>
      <c r="C49" s="7" t="s">
        <v>45</v>
      </c>
      <c r="D49" s="8">
        <v>1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3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3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3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3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3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3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15:D22" name="Range1"/>
    <protectedRange sqref="D41:D49" name="Range2"/>
  </protectedRanges>
  <mergeCells count="1">
    <mergeCell ref="B2:D8"/>
  </mergeCells>
  <dataValidations count="2">
    <dataValidation type="decimal" allowBlank="1" showInputMessage="1" showErrorMessage="1" sqref="D15:D22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41:D49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41"/>
  <sheetViews>
    <sheetView topLeftCell="B1" workbookViewId="0">
      <selection activeCell="E45" sqref="E45"/>
    </sheetView>
  </sheetViews>
  <sheetFormatPr baseColWidth="10" defaultColWidth="8.88671875" defaultRowHeight="14.4" x14ac:dyDescent="0.3"/>
  <cols>
    <col min="2" max="2" width="31.88671875" customWidth="1"/>
    <col min="3" max="3" width="46.77734375" customWidth="1"/>
    <col min="4" max="4" width="24.88671875" bestFit="1" customWidth="1"/>
    <col min="5" max="5" width="18.5546875" customWidth="1"/>
    <col min="6" max="6" width="19.77734375" customWidth="1"/>
  </cols>
  <sheetData>
    <row r="2" spans="2:6" ht="36.75" customHeight="1" x14ac:dyDescent="0.3">
      <c r="C2" s="54" t="s">
        <v>46</v>
      </c>
      <c r="D2" s="55"/>
    </row>
    <row r="4" spans="2:6" ht="41.4" x14ac:dyDescent="0.3">
      <c r="B4" s="15" t="s">
        <v>47</v>
      </c>
      <c r="C4" s="42" t="s">
        <v>48</v>
      </c>
      <c r="F4" s="43"/>
    </row>
    <row r="5" spans="2:6" ht="41.4" x14ac:dyDescent="0.3">
      <c r="B5" s="15" t="s">
        <v>49</v>
      </c>
      <c r="C5" s="42" t="s">
        <v>50</v>
      </c>
    </row>
    <row r="6" spans="2:6" ht="69" x14ac:dyDescent="0.3">
      <c r="B6" s="15" t="s">
        <v>51</v>
      </c>
      <c r="C6" s="42" t="s">
        <v>52</v>
      </c>
    </row>
    <row r="7" spans="2:6" x14ac:dyDescent="0.3">
      <c r="B7" s="15"/>
      <c r="C7" s="42"/>
    </row>
    <row r="8" spans="2:6" x14ac:dyDescent="0.3">
      <c r="B8" s="15"/>
      <c r="C8" s="42"/>
    </row>
    <row r="9" spans="2:6" x14ac:dyDescent="0.3">
      <c r="B9" s="15"/>
      <c r="C9" s="40"/>
      <c r="D9" s="61" t="s">
        <v>53</v>
      </c>
      <c r="E9" s="61"/>
    </row>
    <row r="10" spans="2:6" ht="26.25" customHeight="1" x14ac:dyDescent="0.3">
      <c r="B10" s="15"/>
      <c r="C10" s="15"/>
      <c r="D10" s="16" t="s">
        <v>47</v>
      </c>
      <c r="E10" s="16" t="s">
        <v>49</v>
      </c>
      <c r="F10" s="16" t="s">
        <v>51</v>
      </c>
    </row>
    <row r="11" spans="2:6" x14ac:dyDescent="0.3">
      <c r="B11" s="15"/>
      <c r="C11" s="15"/>
    </row>
    <row r="12" spans="2:6" x14ac:dyDescent="0.3">
      <c r="B12" s="15"/>
      <c r="C12" s="18" t="s">
        <v>54</v>
      </c>
      <c r="D12" s="41" t="s">
        <v>55</v>
      </c>
      <c r="E12" s="41" t="s">
        <v>56</v>
      </c>
      <c r="F12" s="41" t="s">
        <v>51</v>
      </c>
    </row>
    <row r="13" spans="2:6" x14ac:dyDescent="0.3">
      <c r="B13" s="62" t="s">
        <v>12</v>
      </c>
      <c r="C13" s="19" t="s">
        <v>13</v>
      </c>
      <c r="D13" s="20">
        <v>5</v>
      </c>
      <c r="E13" s="20">
        <v>5</v>
      </c>
      <c r="F13" s="20" t="str">
        <f t="shared" ref="F13:F41" si="0">IF(E13=5,"OK",IF(D13=0,"Puede esperar",IF(AND(D13=5,E13=0),"Urgente","Importante")))</f>
        <v>OK</v>
      </c>
    </row>
    <row r="14" spans="2:6" x14ac:dyDescent="0.3">
      <c r="B14" s="62"/>
      <c r="C14" s="19" t="s">
        <v>14</v>
      </c>
      <c r="D14" s="20">
        <v>5</v>
      </c>
      <c r="E14" s="20">
        <v>5</v>
      </c>
      <c r="F14" s="20" t="str">
        <f t="shared" si="0"/>
        <v>OK</v>
      </c>
    </row>
    <row r="15" spans="2:6" x14ac:dyDescent="0.3">
      <c r="B15" s="62"/>
      <c r="C15" s="19" t="s">
        <v>15</v>
      </c>
      <c r="D15" s="20">
        <v>5</v>
      </c>
      <c r="E15" s="20">
        <v>5</v>
      </c>
      <c r="F15" s="20" t="str">
        <f t="shared" si="0"/>
        <v>OK</v>
      </c>
    </row>
    <row r="16" spans="2:6" x14ac:dyDescent="0.3">
      <c r="B16" s="62"/>
      <c r="C16" s="19" t="s">
        <v>16</v>
      </c>
      <c r="D16" s="20">
        <v>5</v>
      </c>
      <c r="E16" s="20">
        <v>3</v>
      </c>
      <c r="F16" s="20" t="str">
        <f t="shared" si="0"/>
        <v>Importante</v>
      </c>
    </row>
    <row r="17" spans="2:6" x14ac:dyDescent="0.3">
      <c r="B17" s="62"/>
      <c r="C17" s="19" t="s">
        <v>17</v>
      </c>
      <c r="D17" s="20">
        <v>5</v>
      </c>
      <c r="E17" s="20">
        <v>5</v>
      </c>
      <c r="F17" s="20" t="str">
        <f t="shared" si="0"/>
        <v>OK</v>
      </c>
    </row>
    <row r="18" spans="2:6" x14ac:dyDescent="0.3">
      <c r="B18" s="62"/>
      <c r="C18" s="19" t="s">
        <v>18</v>
      </c>
      <c r="D18" s="20">
        <v>5</v>
      </c>
      <c r="E18" s="20">
        <v>3</v>
      </c>
      <c r="F18" s="20" t="str">
        <f t="shared" si="0"/>
        <v>Importante</v>
      </c>
    </row>
    <row r="19" spans="2:6" x14ac:dyDescent="0.3">
      <c r="B19" s="62"/>
      <c r="C19" s="19" t="s">
        <v>19</v>
      </c>
      <c r="D19" s="20">
        <v>5</v>
      </c>
      <c r="E19" s="20">
        <v>5</v>
      </c>
      <c r="F19" s="20" t="str">
        <f t="shared" si="0"/>
        <v>OK</v>
      </c>
    </row>
    <row r="20" spans="2:6" x14ac:dyDescent="0.3">
      <c r="B20" s="63" t="s">
        <v>20</v>
      </c>
      <c r="C20" s="21" t="s">
        <v>21</v>
      </c>
      <c r="D20" s="20">
        <v>5</v>
      </c>
      <c r="E20" s="20">
        <v>3</v>
      </c>
      <c r="F20" s="20" t="str">
        <f t="shared" si="0"/>
        <v>Importante</v>
      </c>
    </row>
    <row r="21" spans="2:6" x14ac:dyDescent="0.3">
      <c r="B21" s="64"/>
      <c r="C21" s="21" t="s">
        <v>22</v>
      </c>
      <c r="D21" s="20">
        <v>5</v>
      </c>
      <c r="E21" s="20">
        <v>3</v>
      </c>
      <c r="F21" s="20" t="str">
        <f t="shared" si="0"/>
        <v>Importante</v>
      </c>
    </row>
    <row r="22" spans="2:6" x14ac:dyDescent="0.3">
      <c r="B22" s="65" t="s">
        <v>23</v>
      </c>
      <c r="C22" s="21" t="s">
        <v>24</v>
      </c>
      <c r="D22" s="20">
        <v>5</v>
      </c>
      <c r="E22" s="20">
        <v>5</v>
      </c>
      <c r="F22" s="20" t="str">
        <f t="shared" si="0"/>
        <v>OK</v>
      </c>
    </row>
    <row r="23" spans="2:6" x14ac:dyDescent="0.3">
      <c r="B23" s="63"/>
      <c r="C23" s="21" t="s">
        <v>25</v>
      </c>
      <c r="D23" s="20">
        <v>5</v>
      </c>
      <c r="E23" s="20">
        <v>5</v>
      </c>
      <c r="F23" s="20" t="str">
        <f t="shared" si="0"/>
        <v>OK</v>
      </c>
    </row>
    <row r="24" spans="2:6" x14ac:dyDescent="0.3">
      <c r="B24" s="64"/>
      <c r="C24" s="21" t="s">
        <v>26</v>
      </c>
      <c r="D24" s="20">
        <v>5</v>
      </c>
      <c r="E24" s="20">
        <v>5</v>
      </c>
      <c r="F24" s="20" t="str">
        <f t="shared" si="0"/>
        <v>OK</v>
      </c>
    </row>
    <row r="25" spans="2:6" x14ac:dyDescent="0.3">
      <c r="B25" s="56" t="s">
        <v>27</v>
      </c>
      <c r="C25" s="22" t="s">
        <v>28</v>
      </c>
      <c r="D25" s="20">
        <v>5</v>
      </c>
      <c r="E25" s="20">
        <v>3</v>
      </c>
      <c r="F25" s="20" t="str">
        <f t="shared" si="0"/>
        <v>Importante</v>
      </c>
    </row>
    <row r="26" spans="2:6" x14ac:dyDescent="0.3">
      <c r="B26" s="57"/>
      <c r="C26" s="22" t="s">
        <v>29</v>
      </c>
      <c r="D26" s="20">
        <v>5</v>
      </c>
      <c r="E26" s="20">
        <v>3</v>
      </c>
      <c r="F26" s="20" t="str">
        <f t="shared" si="0"/>
        <v>Importante</v>
      </c>
    </row>
    <row r="27" spans="2:6" x14ac:dyDescent="0.3">
      <c r="B27" s="57"/>
      <c r="C27" s="22" t="s">
        <v>30</v>
      </c>
      <c r="D27" s="20">
        <v>5</v>
      </c>
      <c r="E27" s="20">
        <v>5</v>
      </c>
      <c r="F27" s="20" t="str">
        <f t="shared" si="0"/>
        <v>OK</v>
      </c>
    </row>
    <row r="28" spans="2:6" x14ac:dyDescent="0.3">
      <c r="B28" s="57"/>
      <c r="C28" s="22" t="s">
        <v>31</v>
      </c>
      <c r="D28" s="20">
        <v>5</v>
      </c>
      <c r="E28" s="20">
        <v>5</v>
      </c>
      <c r="F28" s="20" t="str">
        <f t="shared" si="0"/>
        <v>OK</v>
      </c>
    </row>
    <row r="29" spans="2:6" ht="27.6" x14ac:dyDescent="0.3">
      <c r="B29" s="57"/>
      <c r="C29" s="22" t="s">
        <v>32</v>
      </c>
      <c r="D29" s="20">
        <v>5</v>
      </c>
      <c r="E29" s="20">
        <v>0</v>
      </c>
      <c r="F29" s="20" t="str">
        <f t="shared" si="0"/>
        <v>Urgente</v>
      </c>
    </row>
    <row r="30" spans="2:6" x14ac:dyDescent="0.3">
      <c r="B30" s="57"/>
      <c r="C30" s="22" t="s">
        <v>33</v>
      </c>
      <c r="D30" s="20">
        <v>5</v>
      </c>
      <c r="E30" s="20">
        <v>5</v>
      </c>
      <c r="F30" s="20" t="str">
        <f t="shared" si="0"/>
        <v>OK</v>
      </c>
    </row>
    <row r="31" spans="2:6" ht="27.6" x14ac:dyDescent="0.3">
      <c r="B31" s="57"/>
      <c r="C31" s="22" t="s">
        <v>34</v>
      </c>
      <c r="D31" s="20">
        <v>5</v>
      </c>
      <c r="E31" s="20">
        <v>3</v>
      </c>
      <c r="F31" s="20" t="str">
        <f t="shared" si="0"/>
        <v>Importante</v>
      </c>
    </row>
    <row r="32" spans="2:6" x14ac:dyDescent="0.3">
      <c r="B32" s="58"/>
      <c r="C32" s="22" t="s">
        <v>35</v>
      </c>
      <c r="D32" s="20">
        <v>5</v>
      </c>
      <c r="E32" s="20">
        <v>3</v>
      </c>
      <c r="F32" s="20" t="str">
        <f t="shared" si="0"/>
        <v>Importante</v>
      </c>
    </row>
    <row r="33" spans="2:6" x14ac:dyDescent="0.3">
      <c r="B33" s="59" t="s">
        <v>36</v>
      </c>
      <c r="C33" s="23" t="s">
        <v>37</v>
      </c>
      <c r="D33" s="20">
        <v>5</v>
      </c>
      <c r="E33" s="20">
        <v>5</v>
      </c>
      <c r="F33" s="20" t="str">
        <f t="shared" si="0"/>
        <v>OK</v>
      </c>
    </row>
    <row r="34" spans="2:6" x14ac:dyDescent="0.3">
      <c r="B34" s="60"/>
      <c r="C34" s="23" t="s">
        <v>38</v>
      </c>
      <c r="D34" s="20">
        <v>5</v>
      </c>
      <c r="E34" s="20">
        <v>0</v>
      </c>
      <c r="F34" s="20" t="str">
        <f t="shared" si="0"/>
        <v>Urgente</v>
      </c>
    </row>
    <row r="35" spans="2:6" x14ac:dyDescent="0.3">
      <c r="B35" s="60"/>
      <c r="C35" s="23" t="s">
        <v>39</v>
      </c>
      <c r="D35" s="20">
        <v>5</v>
      </c>
      <c r="E35" s="20">
        <v>5</v>
      </c>
      <c r="F35" s="20" t="str">
        <f t="shared" si="0"/>
        <v>OK</v>
      </c>
    </row>
    <row r="36" spans="2:6" x14ac:dyDescent="0.3">
      <c r="B36" s="60"/>
      <c r="C36" s="23" t="s">
        <v>40</v>
      </c>
      <c r="D36" s="20">
        <v>5</v>
      </c>
      <c r="E36" s="20">
        <v>3</v>
      </c>
      <c r="F36" s="20" t="str">
        <f t="shared" si="0"/>
        <v>Importante</v>
      </c>
    </row>
    <row r="37" spans="2:6" x14ac:dyDescent="0.3">
      <c r="B37" s="60"/>
      <c r="C37" s="23" t="s">
        <v>41</v>
      </c>
      <c r="D37" s="20">
        <v>5</v>
      </c>
      <c r="E37" s="20">
        <v>3</v>
      </c>
      <c r="F37" s="20" t="str">
        <f t="shared" si="0"/>
        <v>Importante</v>
      </c>
    </row>
    <row r="38" spans="2:6" x14ac:dyDescent="0.3">
      <c r="B38" s="60"/>
      <c r="C38" s="23" t="s">
        <v>42</v>
      </c>
      <c r="D38" s="20">
        <v>5</v>
      </c>
      <c r="E38" s="20">
        <v>0</v>
      </c>
      <c r="F38" s="20" t="str">
        <f t="shared" si="0"/>
        <v>Urgente</v>
      </c>
    </row>
    <row r="39" spans="2:6" ht="28.2" x14ac:dyDescent="0.3">
      <c r="B39" s="60"/>
      <c r="C39" s="23" t="s">
        <v>43</v>
      </c>
      <c r="D39" s="20">
        <v>5</v>
      </c>
      <c r="E39" s="20">
        <v>5</v>
      </c>
      <c r="F39" s="20" t="str">
        <f t="shared" si="0"/>
        <v>OK</v>
      </c>
    </row>
    <row r="40" spans="2:6" x14ac:dyDescent="0.3">
      <c r="B40" s="60"/>
      <c r="C40" s="23" t="s">
        <v>44</v>
      </c>
      <c r="D40" s="20">
        <v>5</v>
      </c>
      <c r="E40" s="20">
        <v>5</v>
      </c>
      <c r="F40" s="20" t="str">
        <f t="shared" si="0"/>
        <v>OK</v>
      </c>
    </row>
    <row r="41" spans="2:6" x14ac:dyDescent="0.3">
      <c r="B41" s="60"/>
      <c r="C41" s="23" t="s">
        <v>45</v>
      </c>
      <c r="D41" s="20">
        <v>5</v>
      </c>
      <c r="E41" s="20">
        <v>0</v>
      </c>
      <c r="F41" s="20" t="str">
        <f t="shared" si="0"/>
        <v>Urgente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13:E41" name="Range1"/>
  </protectedRanges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InputMessage="1" showErrorMessage="1" sqref="D13:D41 E13:E41" xr:uid="{6FDFBAB1-12F6-4E98-8E5D-FD858D79CCF9}">
      <formula1>"0,3,5"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3:B15"/>
  <sheetViews>
    <sheetView workbookViewId="0">
      <selection activeCell="B4" sqref="B4"/>
    </sheetView>
  </sheetViews>
  <sheetFormatPr baseColWidth="10" defaultColWidth="8.88671875" defaultRowHeight="14.4" x14ac:dyDescent="0.3"/>
  <cols>
    <col min="1" max="1" width="44.77734375" bestFit="1" customWidth="1"/>
    <col min="2" max="2" width="46.109375" bestFit="1" customWidth="1"/>
  </cols>
  <sheetData>
    <row r="3" spans="1:2" x14ac:dyDescent="0.3">
      <c r="A3" s="17" t="s">
        <v>51</v>
      </c>
      <c r="B3" s="17" t="s">
        <v>54</v>
      </c>
    </row>
    <row r="4" spans="1:2" x14ac:dyDescent="0.3">
      <c r="A4" t="s">
        <v>57</v>
      </c>
      <c r="B4" t="s">
        <v>25</v>
      </c>
    </row>
    <row r="5" spans="1:2" x14ac:dyDescent="0.3">
      <c r="B5" t="s">
        <v>35</v>
      </c>
    </row>
    <row r="6" spans="1:2" x14ac:dyDescent="0.3">
      <c r="B6" t="s">
        <v>34</v>
      </c>
    </row>
    <row r="7" spans="1:2" x14ac:dyDescent="0.3">
      <c r="B7" t="s">
        <v>38</v>
      </c>
    </row>
    <row r="8" spans="1:2" x14ac:dyDescent="0.3">
      <c r="B8" t="s">
        <v>13</v>
      </c>
    </row>
    <row r="9" spans="1:2" x14ac:dyDescent="0.3">
      <c r="B9" t="s">
        <v>45</v>
      </c>
    </row>
    <row r="10" spans="1:2" x14ac:dyDescent="0.3">
      <c r="A10" t="s">
        <v>58</v>
      </c>
      <c r="B10" t="s">
        <v>17</v>
      </c>
    </row>
    <row r="11" spans="1:2" x14ac:dyDescent="0.3">
      <c r="B11" t="s">
        <v>40</v>
      </c>
    </row>
    <row r="12" spans="1:2" x14ac:dyDescent="0.3">
      <c r="B12" t="s">
        <v>26</v>
      </c>
    </row>
    <row r="13" spans="1:2" x14ac:dyDescent="0.3">
      <c r="B13" t="s">
        <v>42</v>
      </c>
    </row>
    <row r="14" spans="1:2" x14ac:dyDescent="0.3">
      <c r="B14" t="s">
        <v>39</v>
      </c>
    </row>
    <row r="15" spans="1:2" x14ac:dyDescent="0.3">
      <c r="A15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6"/>
  <sheetViews>
    <sheetView tabSelected="1" zoomScale="66" zoomScaleNormal="70" workbookViewId="0">
      <selection activeCell="G6" sqref="G6"/>
    </sheetView>
  </sheetViews>
  <sheetFormatPr baseColWidth="10" defaultColWidth="8.88671875" defaultRowHeight="14.4" x14ac:dyDescent="0.3"/>
  <cols>
    <col min="1" max="1" width="3.21875" customWidth="1"/>
    <col min="2" max="2" width="47.21875" customWidth="1"/>
    <col min="3" max="3" width="64.5546875" customWidth="1"/>
    <col min="4" max="4" width="33" customWidth="1"/>
    <col min="5" max="5" width="52.21875" customWidth="1"/>
    <col min="6" max="6" width="37.5546875" customWidth="1"/>
    <col min="7" max="7" width="40.88671875" customWidth="1"/>
  </cols>
  <sheetData>
    <row r="2" spans="2:7" ht="43.8" x14ac:dyDescent="0.75">
      <c r="B2" s="46" t="s">
        <v>60</v>
      </c>
      <c r="C2" s="46"/>
      <c r="D2" s="46"/>
      <c r="E2" s="46"/>
      <c r="F2" s="46"/>
      <c r="G2" s="46"/>
    </row>
    <row r="4" spans="2:7" ht="15.6" x14ac:dyDescent="0.3">
      <c r="B4" s="24" t="s">
        <v>61</v>
      </c>
      <c r="C4" s="25" t="s">
        <v>62</v>
      </c>
      <c r="D4" s="25" t="s">
        <v>63</v>
      </c>
      <c r="E4" s="26" t="s">
        <v>64</v>
      </c>
      <c r="F4" s="27" t="s">
        <v>65</v>
      </c>
      <c r="G4" s="27" t="s">
        <v>66</v>
      </c>
    </row>
    <row r="5" spans="2:7" ht="15" x14ac:dyDescent="0.3">
      <c r="B5" s="36"/>
      <c r="C5" s="37" t="s">
        <v>67</v>
      </c>
      <c r="D5" s="37" t="s">
        <v>68</v>
      </c>
      <c r="E5" s="38"/>
      <c r="F5" s="45"/>
      <c r="G5" s="39"/>
    </row>
    <row r="6" spans="2:7" x14ac:dyDescent="0.3">
      <c r="B6" s="66" t="s">
        <v>112</v>
      </c>
      <c r="C6" s="66" t="s">
        <v>113</v>
      </c>
      <c r="D6" s="66" t="s">
        <v>114</v>
      </c>
      <c r="E6" s="66" t="s">
        <v>115</v>
      </c>
      <c r="F6" s="67" t="s">
        <v>116</v>
      </c>
      <c r="G6" s="66" t="s">
        <v>117</v>
      </c>
    </row>
    <row r="7" spans="2:7" ht="28.8" x14ac:dyDescent="0.3">
      <c r="B7" s="68" t="s">
        <v>25</v>
      </c>
      <c r="C7" s="68" t="s">
        <v>73</v>
      </c>
      <c r="D7" s="68" t="s">
        <v>74</v>
      </c>
      <c r="E7" s="68" t="s">
        <v>75</v>
      </c>
      <c r="F7" s="69">
        <v>46097</v>
      </c>
      <c r="G7" s="68" t="s">
        <v>76</v>
      </c>
    </row>
    <row r="8" spans="2:7" ht="28.8" x14ac:dyDescent="0.3">
      <c r="B8" s="68" t="s">
        <v>17</v>
      </c>
      <c r="C8" s="68" t="s">
        <v>77</v>
      </c>
      <c r="D8" s="68" t="s">
        <v>78</v>
      </c>
      <c r="E8" s="68" t="s">
        <v>71</v>
      </c>
      <c r="F8" s="69">
        <v>46097</v>
      </c>
      <c r="G8" s="68" t="s">
        <v>79</v>
      </c>
    </row>
    <row r="9" spans="2:7" ht="43.2" x14ac:dyDescent="0.3">
      <c r="B9" s="68" t="s">
        <v>80</v>
      </c>
      <c r="C9" s="68" t="s">
        <v>81</v>
      </c>
      <c r="D9" s="68" t="s">
        <v>82</v>
      </c>
      <c r="E9" s="68" t="s">
        <v>83</v>
      </c>
      <c r="F9" s="69">
        <v>46097</v>
      </c>
      <c r="G9" s="68" t="s">
        <v>84</v>
      </c>
    </row>
    <row r="10" spans="2:7" ht="28.8" x14ac:dyDescent="0.3">
      <c r="B10" s="68" t="s">
        <v>85</v>
      </c>
      <c r="C10" s="68" t="s">
        <v>86</v>
      </c>
      <c r="D10" s="68" t="s">
        <v>87</v>
      </c>
      <c r="E10" s="68" t="s">
        <v>72</v>
      </c>
      <c r="F10" s="69">
        <v>46097</v>
      </c>
      <c r="G10" s="68" t="s">
        <v>88</v>
      </c>
    </row>
    <row r="11" spans="2:7" ht="28.8" x14ac:dyDescent="0.3">
      <c r="B11" s="68" t="s">
        <v>38</v>
      </c>
      <c r="C11" s="68" t="s">
        <v>89</v>
      </c>
      <c r="D11" s="68" t="s">
        <v>90</v>
      </c>
      <c r="E11" s="68" t="s">
        <v>91</v>
      </c>
      <c r="F11" s="69">
        <v>46097</v>
      </c>
      <c r="G11" s="68" t="s">
        <v>92</v>
      </c>
    </row>
    <row r="12" spans="2:7" x14ac:dyDescent="0.3">
      <c r="B12" s="68" t="s">
        <v>13</v>
      </c>
      <c r="C12" s="68" t="s">
        <v>93</v>
      </c>
      <c r="D12" s="68" t="s">
        <v>94</v>
      </c>
      <c r="E12" s="68" t="s">
        <v>95</v>
      </c>
      <c r="F12" s="69">
        <v>46097</v>
      </c>
      <c r="G12" s="68" t="s">
        <v>96</v>
      </c>
    </row>
    <row r="13" spans="2:7" x14ac:dyDescent="0.3">
      <c r="B13" s="68" t="s">
        <v>26</v>
      </c>
      <c r="C13" s="68" t="s">
        <v>97</v>
      </c>
      <c r="D13" s="68" t="s">
        <v>98</v>
      </c>
      <c r="E13" s="68" t="s">
        <v>99</v>
      </c>
      <c r="F13" s="69">
        <v>46097</v>
      </c>
      <c r="G13" s="68" t="s">
        <v>100</v>
      </c>
    </row>
    <row r="14" spans="2:7" ht="28.8" x14ac:dyDescent="0.3">
      <c r="B14" s="68" t="s">
        <v>45</v>
      </c>
      <c r="C14" s="68" t="s">
        <v>101</v>
      </c>
      <c r="D14" s="68" t="s">
        <v>102</v>
      </c>
      <c r="E14" s="68" t="s">
        <v>70</v>
      </c>
      <c r="F14" s="69">
        <v>46097</v>
      </c>
      <c r="G14" s="68" t="s">
        <v>103</v>
      </c>
    </row>
    <row r="15" spans="2:7" ht="28.8" x14ac:dyDescent="0.3">
      <c r="B15" s="68" t="s">
        <v>104</v>
      </c>
      <c r="C15" s="68" t="s">
        <v>105</v>
      </c>
      <c r="D15" s="68" t="s">
        <v>106</v>
      </c>
      <c r="E15" s="68" t="s">
        <v>70</v>
      </c>
      <c r="F15" s="69">
        <v>46097</v>
      </c>
      <c r="G15" s="68" t="s">
        <v>107</v>
      </c>
    </row>
    <row r="16" spans="2:7" ht="28.8" x14ac:dyDescent="0.3">
      <c r="B16" s="68" t="s">
        <v>39</v>
      </c>
      <c r="C16" s="68" t="s">
        <v>108</v>
      </c>
      <c r="D16" s="68" t="s">
        <v>109</v>
      </c>
      <c r="E16" s="68" t="s">
        <v>110</v>
      </c>
      <c r="F16" s="69">
        <v>46097</v>
      </c>
      <c r="G16" s="68" t="s">
        <v>111</v>
      </c>
    </row>
  </sheetData>
  <mergeCells count="1">
    <mergeCell ref="B2:G2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93DBD10AA4B247A3AF4C72460967CE" ma:contentTypeVersion="5" ma:contentTypeDescription="Crear nuevo documento." ma:contentTypeScope="" ma:versionID="f41a249ee91cfefd12abd89185f5bc7a">
  <xsd:schema xmlns:xsd="http://www.w3.org/2001/XMLSchema" xmlns:xs="http://www.w3.org/2001/XMLSchema" xmlns:p="http://schemas.microsoft.com/office/2006/metadata/properties" xmlns:ns3="a5075d77-86d1-4959-a61f-421167b80d9a" targetNamespace="http://schemas.microsoft.com/office/2006/metadata/properties" ma:root="true" ma:fieldsID="a7008fb0bb578305297f0fee4e293b8e" ns3:_="">
    <xsd:import namespace="a5075d77-86d1-4959-a61f-421167b80d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75d77-86d1-4959-a61f-421167b80d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8F84FD-327F-4C8B-AA4E-3776298F0AE7}">
  <ds:schemaRefs>
    <ds:schemaRef ds:uri="http://purl.org/dc/dcmitype/"/>
    <ds:schemaRef ds:uri="http://schemas.microsoft.com/office/2006/metadata/properties"/>
    <ds:schemaRef ds:uri="a5075d77-86d1-4959-a61f-421167b80d9a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404A4F-E710-4083-8F4C-AB84FF74C2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075d77-86d1-4959-a61f-421167b80d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</dc:creator>
  <cp:keywords/>
  <dc:description/>
  <cp:lastModifiedBy>Fredy Alejandro Cifuentes Perez</cp:lastModifiedBy>
  <cp:revision/>
  <cp:lastPrinted>2026-03-14T23:11:53Z</cp:lastPrinted>
  <dcterms:created xsi:type="dcterms:W3CDTF">2025-08-08T19:10:45Z</dcterms:created>
  <dcterms:modified xsi:type="dcterms:W3CDTF">2026-03-14T23:12:49Z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0x0101009C93DBD10AA4B247A3AF4C72460967CE</vt:lpwstr>
  </property>
</Properties>
</file>