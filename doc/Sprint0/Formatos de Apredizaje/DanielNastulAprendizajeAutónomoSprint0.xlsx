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6cb8ecadd3141b95/Escritorio/semestre 5/PROYECTO INTEGRADOR/PROYECTO/20261-g1-pi1-marlonmipastor/doc/"/>
    </mc:Choice>
  </mc:AlternateContent>
  <xr:revisionPtr revIDLastSave="68" documentId="11_5665A72747FB4DD8063F6A8C35CDEB7042423049" xr6:coauthVersionLast="47" xr6:coauthVersionMax="47" xr10:uidLastSave="{94022B8C-B8E3-4B9A-A297-21B44719A6DD}"/>
  <bookViews>
    <workbookView xWindow="-108" yWindow="-108" windowWidth="23256" windowHeight="12456" firstSheet="1" activeTab="5" xr2:uid="{00000000-000D-0000-FFFF-FFFF00000000}"/>
  </bookViews>
  <sheets>
    <sheet name="Portada" sheetId="1" r:id="rId1"/>
    <sheet name="Habilidades Gestión" sheetId="2" r:id="rId2"/>
    <sheet name="Habilidades Técnicas" sheetId="3" r:id="rId3"/>
    <sheet name="Matriz de priorización" sheetId="4" r:id="rId4"/>
    <sheet name="PivotTable" sheetId="5" r:id="rId5"/>
    <sheet name="Plan de Aprendizaje" sheetId="6" r:id="rId6"/>
  </sheets>
  <calcPr calcId="191029"/>
  <pivotCaches>
    <pivotCache cacheId="5"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 i="3" l="1"/>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alcChain>
</file>

<file path=xl/sharedStrings.xml><?xml version="1.0" encoding="utf-8"?>
<sst xmlns="http://schemas.openxmlformats.org/spreadsheetml/2006/main" count="177" uniqueCount="108">
  <si>
    <t>Plan de aprendizaje “Proyecto Integrador I”</t>
  </si>
  <si>
    <t>En los proyectos reales, no basta con saber programar: también necesitamos identificar qué debemos aprender, cómo hacerlo y cómo colaborar mejor con otros. Esta actividad te invita a reconocer tus fortalezas y desafíos, para diseñar una ruta de mejora individual que te permita aprender de forma más autónoma, estratégica y efectiva.</t>
  </si>
  <si>
    <t>¿Qué harás?</t>
  </si>
  <si>
    <r>
      <rPr>
        <b/>
        <sz val="12"/>
        <color rgb="FF5353ED"/>
        <rFont val="Arial"/>
      </rPr>
      <t>Visualiza tu desempeño actual</t>
    </r>
    <r>
      <rPr>
        <sz val="12"/>
        <color rgb="FF5353ED"/>
        <rFont val="Arial"/>
      </rPr>
      <t xml:space="preserve"> </t>
    </r>
    <r>
      <rPr>
        <sz val="12"/>
        <color rgb="FF000000"/>
        <rFont val="Arial"/>
      </rPr>
      <t>en habilidades clave para el trabajo colaborativo (habilidades de gestión) y en los saberes técnicos requeridos por el proyecto.</t>
    </r>
  </si>
  <si>
    <r>
      <rPr>
        <b/>
        <sz val="12"/>
        <color rgb="FF5353ED"/>
        <rFont val="Arial"/>
      </rPr>
      <t>Identifica tus brechas de aprendizaje,</t>
    </r>
    <r>
      <rPr>
        <sz val="12"/>
        <color rgb="FF000000"/>
        <rFont val="Arial"/>
      </rPr>
      <t xml:space="preserve"> tanto en habilidades de gestión como en las técnicas.</t>
    </r>
  </si>
  <si>
    <r>
      <rPr>
        <b/>
        <sz val="12"/>
        <color rgb="FF5353ED"/>
        <rFont val="Arial"/>
      </rPr>
      <t>Diseña tu plan personal de aprendizaje</t>
    </r>
    <r>
      <rPr>
        <b/>
        <sz val="12"/>
        <color rgb="FF000000"/>
        <rFont val="Arial"/>
      </rPr>
      <t>,</t>
    </r>
    <r>
      <rPr>
        <sz val="12"/>
        <color rgb="FF000000"/>
        <rFont val="Arial"/>
      </rPr>
      <t xml:space="preserve"> priorizando lo que el proyecto te demanda y lo que aún necesitas fortalecer.</t>
    </r>
  </si>
  <si>
    <r>
      <rPr>
        <b/>
        <sz val="12"/>
        <color rgb="FF5353ED"/>
        <rFont val="Arial"/>
      </rPr>
      <t>Activa tu capacidad de aprender a aprender</t>
    </r>
    <r>
      <rPr>
        <b/>
        <sz val="12"/>
        <color rgb="FF000000"/>
        <rFont val="Arial"/>
      </rPr>
      <t>,</t>
    </r>
    <r>
      <rPr>
        <sz val="12"/>
        <color rgb="FF000000"/>
        <rFont val="Arial"/>
      </rPr>
      <t xml:space="preserve"> es decir, tu habilidad para gestionar tu propio proceso de aprendizaje.</t>
    </r>
  </si>
  <si>
    <t>A continuación encontrarás una serie de criterios relacionados con las habilidades de gestión. Por favor, léelos con atención y reflexiona sobre tu experiencia.</t>
  </si>
  <si>
    <t>2025-2-PI1</t>
  </si>
  <si>
    <r>
      <rPr>
        <b/>
        <sz val="11"/>
        <color rgb="FF000000"/>
        <rFont val="Aptos Narrow"/>
      </rPr>
      <t>Califícate del 1 al 5, donde:
4.5-5 significa “Sobresaliente”.</t>
    </r>
    <r>
      <rPr>
        <sz val="11"/>
        <color rgb="FF000000"/>
        <rFont val="Aptos Narrow"/>
      </rPr>
      <t xml:space="preserve"> Tienes un dominio sólido y lo aplicas con seguridad.
</t>
    </r>
    <r>
      <rPr>
        <b/>
        <sz val="11"/>
        <color rgb="FF000000"/>
        <rFont val="Aptos Narrow"/>
      </rPr>
      <t xml:space="preserve">3.8- 4.4 significa “Proficiente”. </t>
    </r>
    <r>
      <rPr>
        <sz val="11"/>
        <color rgb="FF000000"/>
        <rFont val="Aptos Narrow"/>
      </rPr>
      <t xml:space="preserve">Manejas la habilidad de forma adecuada y consistente.
</t>
    </r>
    <r>
      <rPr>
        <b/>
        <sz val="11"/>
        <color rgb="FF000000"/>
        <rFont val="Aptos Narrow"/>
      </rPr>
      <t xml:space="preserve">3.0- 3.7 significa “En desarrollo”. </t>
    </r>
    <r>
      <rPr>
        <sz val="11"/>
        <color rgb="FF000000"/>
        <rFont val="Aptos Narrow"/>
      </rPr>
      <t xml:space="preserve">Tienes avances, pero aún necesitas mejorar.
</t>
    </r>
    <r>
      <rPr>
        <b/>
        <sz val="11"/>
        <color rgb="FF000000"/>
        <rFont val="Aptos Narrow"/>
      </rPr>
      <t>0-2.9 significa “Básico”.</t>
    </r>
    <r>
      <rPr>
        <sz val="11"/>
        <color rgb="FF000000"/>
        <rFont val="Aptos Narrow"/>
      </rPr>
      <t xml:space="preserve"> Requieres trabajar significativamente en este aspecto.
Sé sincero. Esta evaluación es para ti. Entre más honesta sea tu respuesta, más útil será tu diagnóstico.</t>
    </r>
  </si>
  <si>
    <t>Habilidades de Gestión</t>
  </si>
  <si>
    <t>Autoevaluación</t>
  </si>
  <si>
    <t>Trabajo en equipo</t>
  </si>
  <si>
    <t>Gestión del tiempo</t>
  </si>
  <si>
    <t>Comunicación en equipo</t>
  </si>
  <si>
    <t>Compromiso</t>
  </si>
  <si>
    <t>Complementariedad</t>
  </si>
  <si>
    <t>Confianza</t>
  </si>
  <si>
    <t>Gestión de la información compartida</t>
  </si>
  <si>
    <t>Planificación</t>
  </si>
  <si>
    <t>Aprender a aprender</t>
  </si>
  <si>
    <t>Conciencia del propio aprendizaje</t>
  </si>
  <si>
    <t>Proactividad en el aprendizaje</t>
  </si>
  <si>
    <t>Presentaciones efectivas</t>
  </si>
  <si>
    <t>Claridad verbal</t>
  </si>
  <si>
    <t>Comunicación no verbal y manejo del espacio</t>
  </si>
  <si>
    <t>Interacción con la audiencia</t>
  </si>
  <si>
    <r>
      <rPr>
        <b/>
        <sz val="11"/>
        <color rgb="FF000000"/>
        <rFont val="Aptos Narrow"/>
      </rPr>
      <t>Califícate del 1 al 5, donde:
4.5-5 significa “Sobresaliente”.</t>
    </r>
    <r>
      <rPr>
        <sz val="11"/>
        <color rgb="FF000000"/>
        <rFont val="Aptos Narrow"/>
      </rPr>
      <t xml:space="preserve"> Tienes un dominio sólido y lo aplicas con seguridad.
</t>
    </r>
    <r>
      <rPr>
        <b/>
        <sz val="11"/>
        <color rgb="FF000000"/>
        <rFont val="Aptos Narrow"/>
      </rPr>
      <t xml:space="preserve">3.8- 4.4 significa “Proficiente”. </t>
    </r>
    <r>
      <rPr>
        <sz val="11"/>
        <color rgb="FF000000"/>
        <rFont val="Aptos Narrow"/>
      </rPr>
      <t xml:space="preserve">Manejas la habilidad de forma adecuada y consistente.
</t>
    </r>
    <r>
      <rPr>
        <b/>
        <sz val="11"/>
        <color rgb="FF000000"/>
        <rFont val="Aptos Narrow"/>
      </rPr>
      <t xml:space="preserve">3.0- 3.7 significa “En desarrollo”. </t>
    </r>
    <r>
      <rPr>
        <sz val="11"/>
        <color rgb="FF000000"/>
        <rFont val="Aptos Narrow"/>
      </rPr>
      <t xml:space="preserve">Tienes avances, pero aún necesitas mejorar.
</t>
    </r>
    <r>
      <rPr>
        <b/>
        <sz val="11"/>
        <color rgb="FF000000"/>
        <rFont val="Aptos Narrow"/>
      </rPr>
      <t>0-2.9 significa “Básico”.</t>
    </r>
    <r>
      <rPr>
        <sz val="11"/>
        <color rgb="FF000000"/>
        <rFont val="Aptos Narrow"/>
      </rPr>
      <t xml:space="preserve"> Requieres trabajar significativamente en este aspecto.
Sé sincero. Esta evaluación es para ti. Entre más honesta sea tu respuesta, más útil será tu diagnóstico.</t>
    </r>
  </si>
  <si>
    <t>Análisis y Diseño</t>
  </si>
  <si>
    <t>Definición de Historias de Usuario</t>
  </si>
  <si>
    <t>Estimación y priorización de Historias de Usuario</t>
  </si>
  <si>
    <t>Utilización de Figma para crear prototipos</t>
  </si>
  <si>
    <t>Plan de pruebas</t>
  </si>
  <si>
    <t>Lenguaje Gherkin para pruebas y criterios de aceptación</t>
  </si>
  <si>
    <t>Dis. de software utilizando Diagramas de clase</t>
  </si>
  <si>
    <t>Dis. de software utilizando Diagramas de secuencia</t>
  </si>
  <si>
    <t>Dis. de BD - Modelo Relacional</t>
  </si>
  <si>
    <t>Construcción y Gestión de proyectos</t>
  </si>
  <si>
    <t>Estructuras de lenguajes de programación</t>
  </si>
  <si>
    <t>Framework Django para crear aplicaciones web</t>
  </si>
  <si>
    <t>Python</t>
  </si>
  <si>
    <t>Dis. de pruebas utilizando caja negra</t>
  </si>
  <si>
    <t>Implementación de pruebas unitarias</t>
  </si>
  <si>
    <t>Pruebas funcionales automatizadas con Selenium</t>
  </si>
  <si>
    <t>Desarrollo de interfaz de usuario utilizando HTML/CSS</t>
  </si>
  <si>
    <t>Control de Versiones utilizando Git y Github</t>
  </si>
  <si>
    <t>Jira para gestión de proyectos</t>
  </si>
  <si>
    <t>En esta hoja, diligencie las columnas D y E. 
La Columna Prioridad NO se debe diligenciar, tiene una formula automática</t>
  </si>
  <si>
    <t>Lo requiere el proyecto?</t>
  </si>
  <si>
    <t>0: No lo requiere en este momento
3: Lo requiere poco
5: Lo requiere mucho</t>
  </si>
  <si>
    <t>Estoy preparado?</t>
  </si>
  <si>
    <t>0: No estoy preparado en este momento
3: Estoy poco preparado
5: Estoy muy preparado</t>
  </si>
  <si>
    <t>Prioridad</t>
  </si>
  <si>
    <t>La columna puede tomar alguno de estos valores: 
- Puede esperar a otra entrega
- Es Urgente que lo aprenda
- Es importante que lo aprenda
- Estoy OK con esto</t>
  </si>
  <si>
    <t>En esta Entrega:</t>
  </si>
  <si>
    <t>Habilidad</t>
  </si>
  <si>
    <t>Requiere</t>
  </si>
  <si>
    <t>Preparado</t>
  </si>
  <si>
    <t>Importante</t>
  </si>
  <si>
    <t>Mi plan de aprendizaje personal</t>
  </si>
  <si>
    <t>Habilidad priorizada</t>
  </si>
  <si>
    <t>Objetivo de aprendizaje</t>
  </si>
  <si>
    <t>Acciones especificas</t>
  </si>
  <si>
    <r>
      <rPr>
        <b/>
        <sz val="12"/>
        <color rgb="FF000000"/>
        <rFont val="Arial"/>
      </rPr>
      <t>Recursos o apoyos</t>
    </r>
    <r>
      <rPr>
        <sz val="12"/>
        <color rgb="FF000000"/>
        <rFont val="Arial"/>
      </rPr>
      <t xml:space="preserve"> (¿Con qué o quién me apoyo?)</t>
    </r>
  </si>
  <si>
    <t>Fechas Estimadas</t>
  </si>
  <si>
    <t>Avance semanal (1-6)</t>
  </si>
  <si>
    <t>¿Qué quieres lograr concretamente?</t>
  </si>
  <si>
    <t>¿Qué vas a hacer?</t>
  </si>
  <si>
    <t>Mejor mi manera de explicarme y que la gente pueda entenderme</t>
  </si>
  <si>
    <t>practicar la comunicación oral</t>
  </si>
  <si>
    <t>Espejo</t>
  </si>
  <si>
    <t>16/03/2026</t>
  </si>
  <si>
    <t>Durante las primeras semanas identifiqué muletillas recurrentes. He practicado la explicación de la lógica de mis controladores en Django frente al espejo, logrando sintetizar ideas complejas en frases más cortas.</t>
  </si>
  <si>
    <t>No ponerme ansioso y no utilizar muletillas</t>
  </si>
  <si>
    <t>usar las diferentes actividades de la universidad que me ayudan con la comunicacion</t>
  </si>
  <si>
    <t>Oralia</t>
  </si>
  <si>
    <t>Inicié mi participación en las sesiones de Oralia. Pasé de una postura cerrada a una más abierta durante las presentaciones de avance del proyecto de integración, controlando mejor el movimiento de las manos.</t>
  </si>
  <si>
    <t>Mejorar mi confianza con actividades personales</t>
  </si>
  <si>
    <t>Hacer ejercicio. practicar un deporte</t>
  </si>
  <si>
    <t>Tenis. Gimansio</t>
  </si>
  <si>
    <t>Establecí una rutina de ejercicio (tenis/gimnasio) que ha mejorado mi manejo del estrés académico. Me siento con más seguridad al liderar discusiones técnicas con mis compañeros de equipo</t>
  </si>
  <si>
    <t xml:space="preserve">Aprender como realizar interfaz de usuario HTML/css </t>
  </si>
  <si>
    <t xml:space="preserve">Usar el internet para profundizar conocimientos </t>
  </si>
  <si>
    <t>ChatGpt, Youtube</t>
  </si>
  <si>
    <t>Sigo batallando en el uso de este nuevo lenguaje de programacion. pero, ya tengo plateada mi nurva ruta de aprendizaje</t>
  </si>
  <si>
    <t>lograr expresarme corporalmente con la gente y tener una mejor comucacion</t>
  </si>
  <si>
    <t>He aprovechado las preguntas en clase para practicar la escucha activa. En las últimas revisiones del proyecto.</t>
  </si>
  <si>
    <t>Aprender como usar Jira</t>
  </si>
  <si>
    <t xml:space="preserve">Usar internet para profundizar conocimientos. </t>
  </si>
  <si>
    <t>Youtube, google</t>
  </si>
  <si>
    <t>Finalmente, logre como usar Jira. es una plataforma que llega a costar su dificultad en aprendrr como usarla</t>
  </si>
  <si>
    <t>Profundizar el lenguaje Gherkin</t>
  </si>
  <si>
    <t>Retomar información del semestre pasado para recordar sobre el lenguaje Gherkin</t>
  </si>
  <si>
    <t>Youtube, internet</t>
  </si>
  <si>
    <t>Retomé los conceptos del semestre pasado y los apliqué para definir los criterios de aceptación de las historias de usuario de mi proyecto actual. Redacté escenarios claros bajo la estructura Given / When / Then.</t>
  </si>
  <si>
    <t>Aprender como usar Selenium</t>
  </si>
  <si>
    <t>Internet</t>
  </si>
  <si>
    <t>Conozco qué es Selenium y su propósito en la automatización de pruebas para aplicaciones web. He investigado de forma general la configuración de WebDriver y el funcionamiento básico de la herramienta. Aunque aún no he profundizado en su uso, tengo claridad sobre su utilidad para automatizar pruebas funcionales en aplicaciones como la mía.</t>
  </si>
  <si>
    <t>Total general</t>
  </si>
  <si>
    <t>Avance Semanal (7-9)</t>
  </si>
  <si>
    <t>Durante las reuniones de seguimiento del Sprint, trabajé en mantener una postura segura al defender la necesidad de resetear las migraciones. He controlado mejor la ansiedad gestual al explicar errores críticos de la base de datos en las sesiones de trabajo grupal.</t>
  </si>
  <si>
    <t>Tomé el liderazgo técnico para estandarizar los modelos (Case, Binnacle) según el diagrama oficial. Me sentí con mayor seguridad al establecer advertencias claras al equipo sobre la importancia de no modificar la estructura de la base de datos sin previo aviso.</t>
  </si>
  <si>
    <t>Adapté las plantillas del Dashboard de Secretaría para que reconozcan los nuevos campos del MER. Ajusté el CSS para que los estados del caso se visualicen correctamente ahora que dependen de la lógica de la tabla Assignment.</t>
  </si>
  <si>
    <t>Me preparé para posibles preguntas de los asesores sobre la integridad referencial en Postgres. Practiqué la escucha activa para entender los requerimientos de mis compañeros antes de proponer cambios en los controladores de Django.</t>
  </si>
  <si>
    <t>Redacté los criterios de aceptación para el nuevo servicio de "Asignación Automática". Definí escenarios como: "Dado que un caso está sin asignar, cuando la secretaria ejecute el reparto, entonces el sistema debe elegir al estudiante con menor carga".</t>
  </si>
  <si>
    <t>Investigué cómo automatizar la validación del Dashboard de Secretaría. Aunque el backend cambió radicalmente, comprendí que las pruebas de Selenium deben enfocarse en que el usuario final siga viendo la información correcta de los casos de forma consistente.</t>
  </si>
  <si>
    <t>Practiqué la explicación técnica de la migración de SQLite a PostgreSQL ante mis compañeros.</t>
  </si>
  <si>
    <t>Utilicé Jira para documentar las tareas de "Refactorización de Modelos" y "Migración de Datos".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</si>
</sst>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7" x14ac:knownFonts="1">
    <font>
      <sz val="11"/>
      <color rgb="FF000000"/>
      <name val="Arial"/>
      <scheme val="minor"/>
    </font>
    <font>
      <sz val="11"/>
      <color theme="1"/>
      <name val="Aptos Narrow"/>
    </font>
    <font>
      <b/>
      <sz val="36"/>
      <color rgb="FF000000"/>
      <name val="Aptos Narrow"/>
    </font>
    <font>
      <sz val="36"/>
      <color theme="1"/>
      <name val="Aptos Narrow"/>
    </font>
    <font>
      <sz val="12"/>
      <color rgb="FF000000"/>
      <name val="Arial"/>
    </font>
    <font>
      <b/>
      <sz val="12"/>
      <color rgb="FF5353ED"/>
      <name val="Arial"/>
    </font>
    <font>
      <b/>
      <sz val="22"/>
      <color rgb="FF5353ED"/>
      <name val="Aptos Narrow"/>
    </font>
    <font>
      <b/>
      <sz val="12"/>
      <color rgb="FF000000"/>
      <name val="Arial"/>
    </font>
    <font>
      <sz val="11"/>
      <color rgb="FF000000"/>
      <name val="Aptos Narrow"/>
    </font>
    <font>
      <sz val="11"/>
      <name val="Arial"/>
    </font>
    <font>
      <b/>
      <sz val="11"/>
      <color theme="1"/>
      <name val="Aptos Narrow"/>
    </font>
    <font>
      <sz val="14"/>
      <color theme="1"/>
      <name val="Arial"/>
    </font>
    <font>
      <sz val="11"/>
      <color rgb="FF2C2C2C"/>
      <name val="Arial"/>
    </font>
    <font>
      <b/>
      <sz val="11"/>
      <color theme="1"/>
      <name val="Arial"/>
    </font>
    <font>
      <b/>
      <sz val="11"/>
      <color rgb="FFFFFFFF"/>
      <name val="Aptos Narrow"/>
    </font>
    <font>
      <sz val="11"/>
      <color theme="1"/>
      <name val="Arial"/>
    </font>
    <font>
      <sz val="11"/>
      <color rgb="FFFFFFFF"/>
      <name val="Aptos Narrow"/>
    </font>
    <font>
      <b/>
      <sz val="11"/>
      <color rgb="FF2C2C2C"/>
      <name val="Arial"/>
    </font>
    <font>
      <b/>
      <sz val="11"/>
      <color rgb="FF000000"/>
      <name val="Arial"/>
    </font>
    <font>
      <b/>
      <sz val="11"/>
      <color rgb="FF000000"/>
      <name val="Aptos Narrow"/>
    </font>
    <font>
      <sz val="11"/>
      <color theme="1"/>
      <name val="Arial"/>
      <scheme val="minor"/>
    </font>
    <font>
      <b/>
      <sz val="35"/>
      <color rgb="FF5353ED"/>
      <name val="Arial"/>
    </font>
    <font>
      <b/>
      <sz val="12"/>
      <color theme="1"/>
      <name val="Arial"/>
    </font>
    <font>
      <sz val="12"/>
      <color theme="1"/>
      <name val="Arial"/>
    </font>
    <font>
      <b/>
      <sz val="11"/>
      <color theme="1"/>
      <name val="Arial"/>
      <scheme val="minor"/>
    </font>
    <font>
      <sz val="12"/>
      <color rgb="FF5353ED"/>
      <name val="Arial"/>
    </font>
    <font>
      <sz val="11"/>
      <color rgb="FF000000"/>
      <name val="Arial"/>
      <family val="2"/>
      <scheme val="minor"/>
    </font>
  </fonts>
  <fills count="8">
    <fill>
      <patternFill patternType="none"/>
    </fill>
    <fill>
      <patternFill patternType="gray125"/>
    </fill>
    <fill>
      <patternFill patternType="solid">
        <fgColor rgb="FFB3E5A1"/>
        <bgColor rgb="FFB3E5A1"/>
      </patternFill>
    </fill>
    <fill>
      <patternFill patternType="solid">
        <fgColor rgb="FF0070C0"/>
        <bgColor rgb="FF0070C0"/>
      </patternFill>
    </fill>
    <fill>
      <patternFill patternType="solid">
        <fgColor rgb="FFDCEBF5"/>
        <bgColor rgb="FFDCEBF5"/>
      </patternFill>
    </fill>
    <fill>
      <patternFill patternType="solid">
        <fgColor rgb="FFF7E4F1"/>
        <bgColor rgb="FFF7E4F1"/>
      </patternFill>
    </fill>
    <fill>
      <patternFill patternType="solid">
        <fgColor rgb="FFF5C6AC"/>
        <bgColor rgb="FFF5C6AC"/>
      </patternFill>
    </fill>
    <fill>
      <patternFill patternType="solid">
        <fgColor rgb="FFFFFFFF"/>
        <bgColor rgb="FFFFFFFF"/>
      </patternFill>
    </fill>
  </fills>
  <borders count="32">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B769F"/>
      </left>
      <right style="thin">
        <color rgb="FF0B769F"/>
      </right>
      <top style="thin">
        <color rgb="FF0B769F"/>
      </top>
      <bottom style="thin">
        <color rgb="FF0B769F"/>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B769F"/>
      </left>
      <right style="thin">
        <color rgb="FF0B769F"/>
      </right>
      <top style="thin">
        <color rgb="FF0B769F"/>
      </top>
      <bottom/>
      <diagonal/>
    </border>
    <border>
      <left style="thin">
        <color rgb="FF000000"/>
      </left>
      <right/>
      <top style="thin">
        <color rgb="FF000000"/>
      </top>
      <bottom/>
      <diagonal/>
    </border>
    <border>
      <left style="thin">
        <color rgb="FF000000"/>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indexed="65"/>
      </left>
      <right style="thin">
        <color rgb="FF999999"/>
      </right>
      <top style="thin">
        <color rgb="FF999999"/>
      </top>
      <bottom style="thin">
        <color rgb="FF999999"/>
      </bottom>
      <diagonal/>
    </border>
    <border>
      <left style="thin">
        <color rgb="FF0B769F"/>
      </left>
      <right/>
      <top/>
      <bottom/>
      <diagonal/>
    </border>
  </borders>
  <cellStyleXfs count="1">
    <xf numFmtId="0" fontId="0" fillId="0" borderId="0"/>
  </cellStyleXfs>
  <cellXfs count="82">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wrapText="1"/>
    </xf>
    <xf numFmtId="0" fontId="5" fillId="0" borderId="0" xfId="0" applyFont="1" applyAlignment="1">
      <alignment wrapText="1"/>
    </xf>
    <xf numFmtId="0" fontId="6" fillId="0" borderId="0" xfId="0" applyFont="1"/>
    <xf numFmtId="0" fontId="4" fillId="0" borderId="0" xfId="0" applyFont="1"/>
    <xf numFmtId="0" fontId="7" fillId="0" borderId="0" xfId="0" applyFont="1"/>
    <xf numFmtId="0" fontId="1" fillId="2" borderId="1" xfId="0" applyFont="1" applyFill="1" applyBorder="1"/>
    <xf numFmtId="0" fontId="10" fillId="3" borderId="5" xfId="0" applyFont="1" applyFill="1" applyBorder="1" applyAlignment="1">
      <alignment horizontal="center" vertical="center"/>
    </xf>
    <xf numFmtId="0" fontId="12" fillId="2" borderId="7" xfId="0" applyFont="1" applyFill="1" applyBorder="1" applyAlignment="1">
      <alignment horizontal="left"/>
    </xf>
    <xf numFmtId="0" fontId="13" fillId="2" borderId="7" xfId="0" applyFont="1" applyFill="1" applyBorder="1" applyAlignment="1">
      <alignment horizontal="center"/>
    </xf>
    <xf numFmtId="0" fontId="12" fillId="2" borderId="7" xfId="0" applyFont="1" applyFill="1" applyBorder="1"/>
    <xf numFmtId="0" fontId="8" fillId="0" borderId="0" xfId="0" applyFont="1" applyAlignment="1">
      <alignment horizontal="left" wrapText="1"/>
    </xf>
    <xf numFmtId="0" fontId="1" fillId="4" borderId="1" xfId="0" applyFont="1" applyFill="1" applyBorder="1"/>
    <xf numFmtId="0" fontId="14" fillId="3" borderId="1" xfId="0" applyFont="1" applyFill="1" applyBorder="1" applyAlignment="1">
      <alignment horizontal="center" vertical="center"/>
    </xf>
    <xf numFmtId="0" fontId="15" fillId="4" borderId="1" xfId="0" applyFont="1" applyFill="1" applyBorder="1" applyAlignment="1">
      <alignment horizontal="left" vertical="top"/>
    </xf>
    <xf numFmtId="0" fontId="1" fillId="4" borderId="1" xfId="0" applyFont="1" applyFill="1" applyBorder="1" applyAlignment="1">
      <alignment horizontal="center" vertical="top"/>
    </xf>
    <xf numFmtId="0" fontId="1" fillId="5" borderId="1" xfId="0" applyFont="1" applyFill="1" applyBorder="1"/>
    <xf numFmtId="0" fontId="16" fillId="0" borderId="0" xfId="0" applyFont="1" applyAlignment="1">
      <alignment horizontal="center" vertical="center"/>
    </xf>
    <xf numFmtId="0" fontId="15" fillId="5" borderId="1" xfId="0" applyFont="1" applyFill="1" applyBorder="1"/>
    <xf numFmtId="0" fontId="15" fillId="5" borderId="1" xfId="0" applyFont="1" applyFill="1" applyBorder="1" applyAlignment="1">
      <alignment horizontal="center" vertical="center"/>
    </xf>
    <xf numFmtId="0" fontId="17" fillId="0" borderId="0" xfId="0" applyFont="1" applyAlignment="1">
      <alignment horizontal="center" vertical="center"/>
    </xf>
    <xf numFmtId="0" fontId="12" fillId="0" borderId="0" xfId="0" applyFont="1" applyAlignment="1">
      <alignment horizontal="center" vertical="center" wrapText="1"/>
    </xf>
    <xf numFmtId="0" fontId="1" fillId="0" borderId="0" xfId="0" applyFont="1" applyAlignment="1">
      <alignment wrapText="1"/>
    </xf>
    <xf numFmtId="0" fontId="17" fillId="0" borderId="0" xfId="0" applyFont="1" applyAlignment="1">
      <alignment horizontal="center" vertical="center" wrapText="1"/>
    </xf>
    <xf numFmtId="0" fontId="1" fillId="0" borderId="0" xfId="0" applyFont="1" applyAlignment="1">
      <alignment horizontal="center" vertical="center"/>
    </xf>
    <xf numFmtId="0" fontId="18" fillId="0" borderId="14" xfId="0" applyFont="1" applyBorder="1" applyAlignment="1">
      <alignment horizontal="center" vertical="center"/>
    </xf>
    <xf numFmtId="0" fontId="19" fillId="0" borderId="14" xfId="0" applyFont="1" applyBorder="1" applyAlignment="1">
      <alignment horizontal="center" vertical="center"/>
    </xf>
    <xf numFmtId="0" fontId="12" fillId="2" borderId="14" xfId="0" applyFont="1" applyFill="1" applyBorder="1" applyAlignment="1">
      <alignment horizontal="left" wrapText="1"/>
    </xf>
    <xf numFmtId="0" fontId="1" fillId="0" borderId="14" xfId="0" applyFont="1" applyBorder="1"/>
    <xf numFmtId="0" fontId="12" fillId="2" borderId="14" xfId="0" applyFont="1" applyFill="1" applyBorder="1" applyAlignment="1">
      <alignment wrapText="1"/>
    </xf>
    <xf numFmtId="0" fontId="15" fillId="4" borderId="14" xfId="0" applyFont="1" applyFill="1" applyBorder="1" applyAlignment="1">
      <alignment horizontal="left" vertical="top" wrapText="1"/>
    </xf>
    <xf numFmtId="0" fontId="15" fillId="5" borderId="14" xfId="0" applyFont="1" applyFill="1" applyBorder="1" applyAlignment="1">
      <alignment wrapText="1"/>
    </xf>
    <xf numFmtId="0" fontId="20" fillId="0" borderId="0" xfId="0" applyFont="1"/>
    <xf numFmtId="0" fontId="22" fillId="7" borderId="19" xfId="0" applyFont="1" applyFill="1" applyBorder="1" applyAlignment="1">
      <alignment horizontal="center" vertical="center"/>
    </xf>
    <xf numFmtId="0" fontId="7" fillId="7" borderId="19" xfId="0" applyFont="1" applyFill="1" applyBorder="1" applyAlignment="1">
      <alignment horizontal="center" vertical="center"/>
    </xf>
    <xf numFmtId="0" fontId="7" fillId="7" borderId="5" xfId="0" applyFont="1" applyFill="1" applyBorder="1" applyAlignment="1">
      <alignment horizontal="center" vertical="center"/>
    </xf>
    <xf numFmtId="0" fontId="7" fillId="7" borderId="14" xfId="0" applyFont="1" applyFill="1" applyBorder="1" applyAlignment="1">
      <alignment horizontal="center" vertical="center"/>
    </xf>
    <xf numFmtId="0" fontId="23" fillId="7" borderId="20" xfId="0" applyFont="1" applyFill="1" applyBorder="1" applyAlignment="1">
      <alignment horizontal="center" vertical="center"/>
    </xf>
    <xf numFmtId="0" fontId="4" fillId="7" borderId="20" xfId="0" applyFont="1" applyFill="1" applyBorder="1" applyAlignment="1">
      <alignment horizontal="center" vertical="center"/>
    </xf>
    <xf numFmtId="0" fontId="23" fillId="7" borderId="21" xfId="0" applyFont="1" applyFill="1" applyBorder="1" applyAlignment="1">
      <alignment horizontal="center" vertical="center"/>
    </xf>
    <xf numFmtId="0" fontId="1" fillId="0" borderId="22" xfId="0" applyFont="1" applyBorder="1" applyAlignment="1">
      <alignment horizontal="center" vertical="center"/>
    </xf>
    <xf numFmtId="0" fontId="24" fillId="0" borderId="23" xfId="0" applyFont="1" applyBorder="1"/>
    <xf numFmtId="0" fontId="1" fillId="7" borderId="7" xfId="0" applyFont="1" applyFill="1" applyBorder="1"/>
    <xf numFmtId="0" fontId="1" fillId="0" borderId="7" xfId="0" applyFont="1" applyBorder="1"/>
    <xf numFmtId="0" fontId="24" fillId="0" borderId="24" xfId="0" applyFont="1" applyBorder="1"/>
    <xf numFmtId="0" fontId="0" fillId="0" borderId="25" xfId="0" pivotButton="1" applyBorder="1"/>
    <xf numFmtId="0" fontId="0" fillId="0" borderId="26" xfId="0" pivotButton="1"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11" xfId="0" applyBorder="1" applyAlignment="1">
      <alignment horizontal="center"/>
    </xf>
    <xf numFmtId="0" fontId="21" fillId="0" borderId="0" xfId="0" applyFont="1" applyAlignment="1">
      <alignment horizontal="center"/>
    </xf>
    <xf numFmtId="0" fontId="0" fillId="0" borderId="0" xfId="0"/>
    <xf numFmtId="0" fontId="0" fillId="0" borderId="31" xfId="0" applyBorder="1" applyAlignment="1">
      <alignment horizontal="center"/>
    </xf>
    <xf numFmtId="0" fontId="0" fillId="0" borderId="11" xfId="0" applyBorder="1" applyAlignment="1">
      <alignment horizontal="center"/>
    </xf>
    <xf numFmtId="0" fontId="8" fillId="2" borderId="2" xfId="0" applyFont="1" applyFill="1" applyBorder="1" applyAlignment="1">
      <alignment horizontal="left" wrapText="1"/>
    </xf>
    <xf numFmtId="0" fontId="9" fillId="0" borderId="3" xfId="0" applyFont="1" applyBorder="1"/>
    <xf numFmtId="0" fontId="9" fillId="0" borderId="4" xfId="0" applyFont="1" applyBorder="1"/>
    <xf numFmtId="0" fontId="11" fillId="2" borderId="6" xfId="0" applyFont="1" applyFill="1" applyBorder="1" applyAlignment="1">
      <alignment horizontal="center" vertical="center"/>
    </xf>
    <xf numFmtId="0" fontId="9" fillId="0" borderId="8" xfId="0" applyFont="1" applyBorder="1"/>
    <xf numFmtId="0" fontId="9" fillId="0" borderId="9" xfId="0" applyFont="1" applyBorder="1"/>
    <xf numFmtId="0" fontId="8" fillId="0" borderId="0" xfId="0" applyFont="1" applyAlignment="1">
      <alignment horizontal="left" wrapText="1"/>
    </xf>
    <xf numFmtId="0" fontId="15" fillId="4" borderId="15" xfId="0" applyFont="1" applyFill="1" applyBorder="1" applyAlignment="1">
      <alignment horizontal="center" vertical="center" wrapText="1"/>
    </xf>
    <xf numFmtId="0" fontId="9" fillId="0" borderId="16" xfId="0" applyFont="1" applyBorder="1"/>
    <xf numFmtId="0" fontId="9" fillId="0" borderId="17" xfId="0" applyFont="1" applyBorder="1"/>
    <xf numFmtId="0" fontId="15" fillId="5" borderId="15" xfId="0" applyFont="1" applyFill="1" applyBorder="1" applyAlignment="1">
      <alignment horizontal="center" vertical="center" wrapText="1"/>
    </xf>
    <xf numFmtId="0" fontId="17" fillId="6" borderId="10" xfId="0" applyFont="1" applyFill="1" applyBorder="1" applyAlignment="1">
      <alignment horizontal="center" vertical="center" wrapText="1"/>
    </xf>
    <xf numFmtId="0" fontId="9" fillId="0" borderId="11" xfId="0" applyFont="1" applyBorder="1"/>
    <xf numFmtId="0" fontId="10" fillId="0" borderId="12" xfId="0" applyFont="1" applyBorder="1" applyAlignment="1">
      <alignment horizontal="center" vertical="center"/>
    </xf>
    <xf numFmtId="0" fontId="9" fillId="0" borderId="13" xfId="0" applyFont="1" applyBorder="1"/>
    <xf numFmtId="0" fontId="15" fillId="2" borderId="15" xfId="0" applyFont="1" applyFill="1" applyBorder="1" applyAlignment="1">
      <alignment horizontal="center" vertical="center"/>
    </xf>
    <xf numFmtId="0" fontId="15" fillId="2" borderId="18" xfId="0" applyFont="1" applyFill="1" applyBorder="1" applyAlignment="1">
      <alignment horizontal="center" vertical="center"/>
    </xf>
    <xf numFmtId="0" fontId="0" fillId="0" borderId="0" xfId="0" applyAlignment="1">
      <alignment horizontal="center"/>
    </xf>
    <xf numFmtId="0" fontId="26" fillId="0" borderId="31" xfId="0" applyFont="1" applyBorder="1" applyAlignment="1">
      <alignment horizontal="center"/>
    </xf>
    <xf numFmtId="0" fontId="26" fillId="0" borderId="24" xfId="0" applyFont="1" applyBorder="1" applyAlignment="1">
      <alignment horizontal="center"/>
    </xf>
    <xf numFmtId="0" fontId="26" fillId="0" borderId="0" xfId="0" applyFont="1" applyAlignment="1">
      <alignment horizontal="center"/>
    </xf>
  </cellXfs>
  <cellStyles count="1">
    <cellStyle name="Normal" xfId="0" builtinId="0"/>
  </cellStyles>
  <dxfs count="6">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s>
  <tableStyles count="2">
    <tableStyle name="Habilidades Técnicas-style" pivot="0" count="3" xr9:uid="{00000000-0011-0000-FFFF-FFFF00000000}">
      <tableStyleElement type="headerRow" dxfId="5"/>
      <tableStyleElement type="firstRowStripe" dxfId="4"/>
      <tableStyleElement type="secondRowStripe" dxfId="3"/>
    </tableStyle>
    <tableStyle name="Habilidades Técnicas-style 2" pivot="0" count="3" xr9:uid="{00000000-0011-0000-FFFF-FFFF01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lvl="0">
              <a:defRPr sz="1400" b="0" i="0">
                <a:solidFill>
                  <a:srgbClr val="757575"/>
                </a:solidFill>
                <a:latin typeface="+mn-lt"/>
              </a:defRPr>
            </a:pPr>
            <a:r>
              <a:rPr lang="es-CO" sz="1400" b="0" i="0">
                <a:solidFill>
                  <a:srgbClr val="757575"/>
                </a:solidFill>
                <a:latin typeface="+mn-lt"/>
              </a:rPr>
              <a:t>Habilidades de Gestión</a:t>
            </a:r>
          </a:p>
        </c:rich>
      </c:tx>
      <c:overlay val="0"/>
    </c:title>
    <c:autoTitleDeleted val="0"/>
    <c:plotArea>
      <c:layout/>
      <c:radarChart>
        <c:radarStyle val="marker"/>
        <c:varyColors val="1"/>
        <c:ser>
          <c:idx val="0"/>
          <c:order val="0"/>
          <c:tx>
            <c:strRef>
              <c:f>'Habilidades Gestión'!$E$40</c:f>
              <c:strCache>
                <c:ptCount val="1"/>
                <c:pt idx="0">
                  <c:v>Autoevaluación</c:v>
                </c:pt>
              </c:strCache>
            </c:strRef>
          </c:tx>
          <c:spPr>
            <a:ln cmpd="sng">
              <a:solidFill>
                <a:srgbClr val="145F82"/>
              </a:solidFill>
            </a:ln>
          </c:spPr>
          <c:marker>
            <c:symbol val="none"/>
          </c:marker>
          <c:cat>
            <c:strRef>
              <c:f>'Habilidades Gestión'!$D$41:$D$52</c:f>
              <c:strCache>
                <c:ptCount val="12"/>
                <c:pt idx="0">
                  <c:v>Gestión del tiempo</c:v>
                </c:pt>
                <c:pt idx="1">
                  <c:v>Comunicación en equipo</c:v>
                </c:pt>
                <c:pt idx="2">
                  <c:v>Compromiso</c:v>
                </c:pt>
                <c:pt idx="3">
                  <c:v>Complementariedad</c:v>
                </c:pt>
                <c:pt idx="4">
                  <c:v>Confianza</c:v>
                </c:pt>
                <c:pt idx="5">
                  <c:v>Gestión de la información compartida</c:v>
                </c:pt>
                <c:pt idx="6">
                  <c:v>Planificación</c:v>
                </c:pt>
                <c:pt idx="7">
                  <c:v>Conciencia del propio aprendizaje</c:v>
                </c:pt>
                <c:pt idx="8">
                  <c:v>Proactividad en el aprendizaje</c:v>
                </c:pt>
                <c:pt idx="9">
                  <c:v>Claridad verbal</c:v>
                </c:pt>
                <c:pt idx="10">
                  <c:v>Comunicación no verbal y manejo del espacio</c:v>
                </c:pt>
                <c:pt idx="11">
                  <c:v>Interacción con la audiencia</c:v>
                </c:pt>
              </c:strCache>
            </c:strRef>
          </c:cat>
          <c:val>
            <c:numRef>
              <c:f>'Habilidades Gestión'!$E$41:$E$52</c:f>
              <c:numCache>
                <c:formatCode>General</c:formatCode>
                <c:ptCount val="12"/>
                <c:pt idx="0">
                  <c:v>4</c:v>
                </c:pt>
                <c:pt idx="1">
                  <c:v>5</c:v>
                </c:pt>
                <c:pt idx="2">
                  <c:v>5</c:v>
                </c:pt>
                <c:pt idx="3">
                  <c:v>4</c:v>
                </c:pt>
                <c:pt idx="4">
                  <c:v>4</c:v>
                </c:pt>
                <c:pt idx="5">
                  <c:v>5</c:v>
                </c:pt>
                <c:pt idx="6">
                  <c:v>5</c:v>
                </c:pt>
                <c:pt idx="7">
                  <c:v>5</c:v>
                </c:pt>
                <c:pt idx="8">
                  <c:v>5</c:v>
                </c:pt>
                <c:pt idx="9">
                  <c:v>4</c:v>
                </c:pt>
                <c:pt idx="10">
                  <c:v>4</c:v>
                </c:pt>
                <c:pt idx="11">
                  <c:v>4</c:v>
                </c:pt>
              </c:numCache>
            </c:numRef>
          </c:val>
          <c:extLst>
            <c:ext xmlns:c16="http://schemas.microsoft.com/office/drawing/2014/chart" uri="{C3380CC4-5D6E-409C-BE32-E72D297353CC}">
              <c16:uniqueId val="{00000000-52D2-4F4E-9B2A-2CC8EF119614}"/>
            </c:ext>
          </c:extLst>
        </c:ser>
        <c:dLbls>
          <c:showLegendKey val="0"/>
          <c:showVal val="0"/>
          <c:showCatName val="0"/>
          <c:showSerName val="0"/>
          <c:showPercent val="0"/>
          <c:showBubbleSize val="0"/>
        </c:dLbls>
        <c:axId val="1654837959"/>
        <c:axId val="189996973"/>
      </c:radarChart>
      <c:catAx>
        <c:axId val="1654837959"/>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CO"/>
          </a:p>
        </c:txPr>
        <c:crossAx val="189996973"/>
        <c:crosses val="autoZero"/>
        <c:auto val="1"/>
        <c:lblAlgn val="ctr"/>
        <c:lblOffset val="100"/>
        <c:noMultiLvlLbl val="1"/>
      </c:catAx>
      <c:valAx>
        <c:axId val="1899969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s-CO"/>
          </a:p>
        </c:txPr>
        <c:crossAx val="1654837959"/>
        <c:crosses val="autoZero"/>
        <c:crossBetween val="between"/>
      </c:valAx>
    </c:plotArea>
    <c:legend>
      <c:legendPos val="t"/>
      <c:overlay val="0"/>
      <c:txPr>
        <a:bodyPr/>
        <a:lstStyle/>
        <a:p>
          <a:pPr lvl="0">
            <a:defRPr sz="900" b="0" i="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lvl="0">
              <a:defRPr sz="1400" b="0" i="0">
                <a:solidFill>
                  <a:srgbClr val="757575"/>
                </a:solidFill>
                <a:latin typeface="+mn-lt"/>
              </a:defRPr>
            </a:pPr>
            <a:r>
              <a:rPr lang="es-CO" sz="1400" b="0" i="0">
                <a:solidFill>
                  <a:srgbClr val="757575"/>
                </a:solidFill>
                <a:latin typeface="+mn-lt"/>
              </a:rPr>
              <a:t>Análisis y Diseño</a:t>
            </a:r>
          </a:p>
        </c:rich>
      </c:tx>
      <c:overlay val="0"/>
    </c:title>
    <c:autoTitleDeleted val="0"/>
    <c:plotArea>
      <c:layout/>
      <c:radarChart>
        <c:radarStyle val="marker"/>
        <c:varyColors val="1"/>
        <c:ser>
          <c:idx val="0"/>
          <c:order val="0"/>
          <c:tx>
            <c:strRef>
              <c:f>'Habilidades Técnicas'!$D$14</c:f>
              <c:strCache>
                <c:ptCount val="1"/>
                <c:pt idx="0">
                  <c:v>Autoevaluación</c:v>
                </c:pt>
              </c:strCache>
            </c:strRef>
          </c:tx>
          <c:spPr>
            <a:ln cmpd="sng">
              <a:solidFill>
                <a:srgbClr val="145F82"/>
              </a:solidFill>
            </a:ln>
          </c:spPr>
          <c:marker>
            <c:symbol val="none"/>
          </c:marker>
          <c:cat>
            <c:strRef>
              <c:f>'Habilidades Técnicas'!$C$15:$C$22</c:f>
              <c:strCache>
                <c:ptCount val="8"/>
                <c:pt idx="0">
                  <c:v>Definición de Historias de Usuario</c:v>
                </c:pt>
                <c:pt idx="1">
                  <c:v>Estimación y priorización de Historias de Usuario</c:v>
                </c:pt>
                <c:pt idx="2">
                  <c:v>Utilización de Figma para crear prototipos</c:v>
                </c:pt>
                <c:pt idx="3">
                  <c:v>Plan de pruebas</c:v>
                </c:pt>
                <c:pt idx="4">
                  <c:v>Lenguaje Gherkin para pruebas y criterios de aceptación</c:v>
                </c:pt>
                <c:pt idx="5">
                  <c:v>Dis. de software utilizando Diagramas de clase</c:v>
                </c:pt>
                <c:pt idx="6">
                  <c:v>Dis. de software utilizando Diagramas de secuencia</c:v>
                </c:pt>
                <c:pt idx="7">
                  <c:v>Dis. de BD - Modelo Relacional</c:v>
                </c:pt>
              </c:strCache>
            </c:strRef>
          </c:cat>
          <c:val>
            <c:numRef>
              <c:f>'Habilidades Técnicas'!$D$15:$D$22</c:f>
              <c:numCache>
                <c:formatCode>General</c:formatCode>
                <c:ptCount val="8"/>
                <c:pt idx="0">
                  <c:v>5</c:v>
                </c:pt>
                <c:pt idx="1">
                  <c:v>4.5</c:v>
                </c:pt>
                <c:pt idx="2">
                  <c:v>4.5</c:v>
                </c:pt>
                <c:pt idx="3">
                  <c:v>4</c:v>
                </c:pt>
                <c:pt idx="4">
                  <c:v>5</c:v>
                </c:pt>
                <c:pt idx="5">
                  <c:v>4</c:v>
                </c:pt>
                <c:pt idx="6">
                  <c:v>4</c:v>
                </c:pt>
                <c:pt idx="7">
                  <c:v>5</c:v>
                </c:pt>
              </c:numCache>
            </c:numRef>
          </c:val>
          <c:extLst>
            <c:ext xmlns:c16="http://schemas.microsoft.com/office/drawing/2014/chart" uri="{C3380CC4-5D6E-409C-BE32-E72D297353CC}">
              <c16:uniqueId val="{00000000-280A-49EB-BDF4-A8067A2BF138}"/>
            </c:ext>
          </c:extLst>
        </c:ser>
        <c:dLbls>
          <c:showLegendKey val="0"/>
          <c:showVal val="0"/>
          <c:showCatName val="0"/>
          <c:showSerName val="0"/>
          <c:showPercent val="0"/>
          <c:showBubbleSize val="0"/>
        </c:dLbls>
        <c:axId val="66348631"/>
        <c:axId val="1622556734"/>
      </c:radarChart>
      <c:catAx>
        <c:axId val="66348631"/>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CO"/>
          </a:p>
        </c:txPr>
        <c:crossAx val="1622556734"/>
        <c:crosses val="autoZero"/>
        <c:auto val="1"/>
        <c:lblAlgn val="ctr"/>
        <c:lblOffset val="100"/>
        <c:noMultiLvlLbl val="1"/>
      </c:catAx>
      <c:valAx>
        <c:axId val="16225567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s-CO"/>
          </a:p>
        </c:txPr>
        <c:crossAx val="66348631"/>
        <c:crosses val="autoZero"/>
        <c:crossBetween val="between"/>
      </c:valAx>
    </c:plotArea>
    <c:legend>
      <c:legendPos val="t"/>
      <c:overlay val="0"/>
      <c:txPr>
        <a:bodyPr/>
        <a:lstStyle/>
        <a:p>
          <a:pPr lvl="0">
            <a:defRPr sz="900" b="0" i="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lvl="0">
              <a:defRPr sz="1400" b="0" i="0">
                <a:solidFill>
                  <a:srgbClr val="757575"/>
                </a:solidFill>
                <a:latin typeface="+mn-lt"/>
              </a:defRPr>
            </a:pPr>
            <a:r>
              <a:rPr lang="es-CO" sz="1400" b="0" i="0">
                <a:solidFill>
                  <a:srgbClr val="757575"/>
                </a:solidFill>
                <a:latin typeface="+mn-lt"/>
              </a:rPr>
              <a:t>Construcción y Gestión de proyectos</a:t>
            </a:r>
          </a:p>
        </c:rich>
      </c:tx>
      <c:overlay val="0"/>
    </c:title>
    <c:autoTitleDeleted val="0"/>
    <c:plotArea>
      <c:layout/>
      <c:radarChart>
        <c:radarStyle val="marker"/>
        <c:varyColors val="1"/>
        <c:ser>
          <c:idx val="0"/>
          <c:order val="0"/>
          <c:tx>
            <c:strRef>
              <c:f>'Habilidades Técnicas'!$D$40</c:f>
              <c:strCache>
                <c:ptCount val="1"/>
                <c:pt idx="0">
                  <c:v>Autoevaluación</c:v>
                </c:pt>
              </c:strCache>
            </c:strRef>
          </c:tx>
          <c:spPr>
            <a:ln cmpd="sng">
              <a:solidFill>
                <a:srgbClr val="145F82"/>
              </a:solidFill>
            </a:ln>
          </c:spPr>
          <c:marker>
            <c:symbol val="none"/>
          </c:marker>
          <c:cat>
            <c:strRef>
              <c:f>'Habilidades Técnicas'!$C$41:$C$49</c:f>
              <c:strCache>
                <c:ptCount val="9"/>
                <c:pt idx="0">
                  <c:v>Estructuras de lenguajes de programación</c:v>
                </c:pt>
                <c:pt idx="1">
                  <c:v>Framework Django para crear aplicaciones web</c:v>
                </c:pt>
                <c:pt idx="2">
                  <c:v>Python</c:v>
                </c:pt>
                <c:pt idx="3">
                  <c:v>Dis. de pruebas utilizando caja negra</c:v>
                </c:pt>
                <c:pt idx="4">
                  <c:v>Implementación de pruebas unitarias</c:v>
                </c:pt>
                <c:pt idx="5">
                  <c:v>Pruebas funcionales automatizadas con Selenium</c:v>
                </c:pt>
                <c:pt idx="6">
                  <c:v>Desarrollo de interfaz de usuario utilizando HTML/CSS</c:v>
                </c:pt>
                <c:pt idx="7">
                  <c:v>Control de Versiones utilizando Git y Github</c:v>
                </c:pt>
                <c:pt idx="8">
                  <c:v>Jira para gestión de proyectos</c:v>
                </c:pt>
              </c:strCache>
            </c:strRef>
          </c:cat>
          <c:val>
            <c:numRef>
              <c:f>'Habilidades Técnicas'!$D$41:$D$49</c:f>
              <c:numCache>
                <c:formatCode>General</c:formatCode>
                <c:ptCount val="9"/>
                <c:pt idx="0">
                  <c:v>5</c:v>
                </c:pt>
                <c:pt idx="1">
                  <c:v>4.5</c:v>
                </c:pt>
                <c:pt idx="2">
                  <c:v>5</c:v>
                </c:pt>
                <c:pt idx="3">
                  <c:v>4</c:v>
                </c:pt>
                <c:pt idx="4">
                  <c:v>4</c:v>
                </c:pt>
                <c:pt idx="5">
                  <c:v>4</c:v>
                </c:pt>
                <c:pt idx="6">
                  <c:v>4.5</c:v>
                </c:pt>
                <c:pt idx="7">
                  <c:v>5</c:v>
                </c:pt>
                <c:pt idx="8">
                  <c:v>5</c:v>
                </c:pt>
              </c:numCache>
            </c:numRef>
          </c:val>
          <c:extLst>
            <c:ext xmlns:c16="http://schemas.microsoft.com/office/drawing/2014/chart" uri="{C3380CC4-5D6E-409C-BE32-E72D297353CC}">
              <c16:uniqueId val="{00000000-DCCE-4442-A1C6-DE90526E654A}"/>
            </c:ext>
          </c:extLst>
        </c:ser>
        <c:dLbls>
          <c:showLegendKey val="0"/>
          <c:showVal val="0"/>
          <c:showCatName val="0"/>
          <c:showSerName val="0"/>
          <c:showPercent val="0"/>
          <c:showBubbleSize val="0"/>
        </c:dLbls>
        <c:axId val="857763356"/>
        <c:axId val="291989121"/>
      </c:radarChart>
      <c:catAx>
        <c:axId val="857763356"/>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CO"/>
          </a:p>
        </c:txPr>
        <c:crossAx val="291989121"/>
        <c:crosses val="autoZero"/>
        <c:auto val="1"/>
        <c:lblAlgn val="ctr"/>
        <c:lblOffset val="100"/>
        <c:noMultiLvlLbl val="1"/>
      </c:catAx>
      <c:valAx>
        <c:axId val="2919891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s-CO"/>
          </a:p>
        </c:txPr>
        <c:crossAx val="857763356"/>
        <c:crosses val="autoZero"/>
        <c:crossBetween val="between"/>
      </c:valAx>
    </c:plotArea>
    <c:legend>
      <c:legendPos val="t"/>
      <c:overlay val="0"/>
      <c:txPr>
        <a:bodyPr/>
        <a:lstStyle/>
        <a:p>
          <a:pPr lvl="0">
            <a:defRPr sz="900" b="0" i="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5</xdr:col>
      <xdr:colOff>542925</xdr:colOff>
      <xdr:row>31</xdr:row>
      <xdr:rowOff>152400</xdr:rowOff>
    </xdr:from>
    <xdr:ext cx="7372350" cy="48768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-180975</xdr:colOff>
      <xdr:row>0</xdr:row>
      <xdr:rowOff>-2476500</xdr:rowOff>
    </xdr:from>
    <xdr:ext cx="0" cy="0"/>
    <xdr:pic>
      <xdr:nvPicPr>
        <xdr:cNvPr id="3" name="image1.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361950</xdr:colOff>
      <xdr:row>0</xdr:row>
      <xdr:rowOff>0</xdr:rowOff>
    </xdr:from>
    <xdr:ext cx="12611100" cy="5753100"/>
    <xdr:pic>
      <xdr:nvPicPr>
        <xdr:cNvPr id="4" name="image1.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476250</xdr:colOff>
      <xdr:row>8</xdr:row>
      <xdr:rowOff>171450</xdr:rowOff>
    </xdr:from>
    <xdr:ext cx="8782050" cy="4371975"/>
    <xdr:graphicFrame macro="">
      <xdr:nvGraphicFramePr>
        <xdr:cNvPr id="2" name="Chart 2">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457200</xdr:colOff>
      <xdr:row>35</xdr:row>
      <xdr:rowOff>85725</xdr:rowOff>
    </xdr:from>
    <xdr:ext cx="8791575" cy="4181475"/>
    <xdr:graphicFrame macro="">
      <xdr:nvGraphicFramePr>
        <xdr:cNvPr id="3" name="Chart 3">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0</xdr:colOff>
      <xdr:row>9</xdr:row>
      <xdr:rowOff>0</xdr:rowOff>
    </xdr:from>
    <xdr:ext cx="3057525" cy="314325"/>
    <xdr:sp macro="" textlink="">
      <xdr:nvSpPr>
        <xdr:cNvPr id="3" name="Shape 3">
          <a:extLst>
            <a:ext uri="{FF2B5EF4-FFF2-40B4-BE49-F238E27FC236}">
              <a16:creationId xmlns:a16="http://schemas.microsoft.com/office/drawing/2014/main" id="{00000000-0008-0000-0300-000003000000}"/>
            </a:ext>
          </a:extLst>
        </xdr:cNvPr>
        <xdr:cNvSpPr/>
      </xdr:nvSpPr>
      <xdr:spPr>
        <a:xfrm>
          <a:off x="3822000" y="3627600"/>
          <a:ext cx="3048000" cy="304800"/>
        </a:xfrm>
        <a:prstGeom prst="rect">
          <a:avLst/>
        </a:prstGeom>
        <a:gradFill>
          <a:gsLst>
            <a:gs pos="0">
              <a:srgbClr val="487290"/>
            </a:gs>
            <a:gs pos="50000">
              <a:srgbClr val="0D6087"/>
            </a:gs>
            <a:gs pos="100000">
              <a:srgbClr val="07577B"/>
            </a:gs>
          </a:gsLst>
          <a:lin ang="5400000" scaled="0"/>
        </a:gradFill>
        <a:ln w="12700"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i="0" u="none" strike="noStrike">
              <a:solidFill>
                <a:schemeClr val="lt1"/>
              </a:solidFill>
              <a:latin typeface="Arial"/>
              <a:ea typeface="Arial"/>
              <a:cs typeface="Arial"/>
              <a:sym typeface="Arial"/>
            </a:rPr>
            <a:t>Habilidad a evaluar</a:t>
          </a:r>
          <a:endParaRPr sz="1400"/>
        </a:p>
      </xdr:txBody>
    </xdr:sp>
    <xdr:clientData fLocksWithSheet="0"/>
  </xdr:oneCellAnchor>
  <xdr:oneCellAnchor>
    <xdr:from>
      <xdr:col>5</xdr:col>
      <xdr:colOff>9525</xdr:colOff>
      <xdr:row>8</xdr:row>
      <xdr:rowOff>85725</xdr:rowOff>
    </xdr:from>
    <xdr:ext cx="228600" cy="571500"/>
    <xdr:sp macro="" textlink="">
      <xdr:nvSpPr>
        <xdr:cNvPr id="4" name="Shape 4">
          <a:extLst>
            <a:ext uri="{FF2B5EF4-FFF2-40B4-BE49-F238E27FC236}">
              <a16:creationId xmlns:a16="http://schemas.microsoft.com/office/drawing/2014/main" id="{00000000-0008-0000-0300-000004000000}"/>
            </a:ext>
          </a:extLst>
        </xdr:cNvPr>
        <xdr:cNvSpPr/>
      </xdr:nvSpPr>
      <xdr:spPr>
        <a:xfrm>
          <a:off x="5236463" y="3499013"/>
          <a:ext cx="219075" cy="561975"/>
        </a:xfrm>
        <a:prstGeom prst="chevron">
          <a:avLst>
            <a:gd name="adj" fmla="val 50000"/>
          </a:avLst>
        </a:prstGeom>
        <a:gradFill>
          <a:gsLst>
            <a:gs pos="0">
              <a:srgbClr val="487290"/>
            </a:gs>
            <a:gs pos="50000">
              <a:srgbClr val="0D6087"/>
            </a:gs>
            <a:gs pos="100000">
              <a:srgbClr val="07577B"/>
            </a:gs>
          </a:gsLst>
          <a:lin ang="5400000" scaled="0"/>
        </a:gradFill>
        <a:ln w="12700" cap="flat" cmpd="sng">
          <a:solidFill>
            <a:schemeClr val="accent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dk1"/>
            </a:solidFill>
          </a:endParaRPr>
        </a:p>
      </xdr:txBody>
    </xdr: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Daniel Nastul" refreshedDate="46124.516360532405" refreshedVersion="8" recordCount="29" xr:uid="{00000000-000A-0000-FFFF-FFFF00000000}">
  <cacheSource type="worksheet">
    <worksheetSource ref="C12:F41" sheet="Matriz de priorización"/>
  </cacheSource>
  <cacheFields count="4">
    <cacheField name="Habilidad" numFmtId="0">
      <sharedItems count="29">
        <s v="Gestión del tiempo"/>
        <s v="Comunicación en equipo"/>
        <s v="Compromiso"/>
        <s v="Complementariedad"/>
        <s v="Confianza"/>
        <s v="Gestión de la información compartida"/>
        <s v="Planificación"/>
        <s v="Conciencia del propio aprendizaje"/>
        <s v="Proactividad en el aprendizaje"/>
        <s v="Claridad verbal"/>
        <s v="Comunicación no verbal y manejo del espacio"/>
        <s v="Interacción con la audiencia"/>
        <s v="Definición de Historias de Usuario"/>
        <s v="Estimación y priorización de Historias de Usuario"/>
        <s v="Utilización de Figma para crear prototipos"/>
        <s v="Plan de pruebas"/>
        <s v="Lenguaje Gherkin para pruebas y criterios de aceptación"/>
        <s v="Dis. de software utilizando Diagramas de clase"/>
        <s v="Dis. de software utilizando Diagramas de secuencia"/>
        <s v="Dis. de BD - Modelo Relacional"/>
        <s v="Estructuras de lenguajes de programación"/>
        <s v="Framework Django para crear aplicaciones web"/>
        <s v="Python"/>
        <s v="Dis. de pruebas utilizando caja negra"/>
        <s v="Implementación de pruebas unitarias"/>
        <s v="Pruebas funcionales automatizadas con Selenium"/>
        <s v="Desarrollo de interfaz de usuario utilizando HTML/CSS"/>
        <s v="Control de Versiones utilizando Git y Github"/>
        <s v="Jira para gestión de proyectos"/>
      </sharedItems>
    </cacheField>
    <cacheField name="Requiere" numFmtId="0">
      <sharedItems containsSemiMixedTypes="0" containsString="0" containsNumber="1" containsInteger="1" minValue="5" maxValue="5"/>
    </cacheField>
    <cacheField name="Preparado" numFmtId="0">
      <sharedItems containsSemiMixedTypes="0" containsString="0" containsNumber="1" containsInteger="1" minValue="3" maxValue="5"/>
    </cacheField>
    <cacheField name="Prioridad" numFmtId="0">
      <sharedItems count="2">
        <s v="OK"/>
        <s v="Important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x v="0"/>
    <n v="5"/>
    <n v="5"/>
    <x v="0"/>
  </r>
  <r>
    <x v="1"/>
    <n v="5"/>
    <n v="5"/>
    <x v="0"/>
  </r>
  <r>
    <x v="2"/>
    <n v="5"/>
    <n v="5"/>
    <x v="0"/>
  </r>
  <r>
    <x v="3"/>
    <n v="5"/>
    <n v="5"/>
    <x v="0"/>
  </r>
  <r>
    <x v="4"/>
    <n v="5"/>
    <n v="5"/>
    <x v="0"/>
  </r>
  <r>
    <x v="5"/>
    <n v="5"/>
    <n v="5"/>
    <x v="0"/>
  </r>
  <r>
    <x v="6"/>
    <n v="5"/>
    <n v="3"/>
    <x v="1"/>
  </r>
  <r>
    <x v="7"/>
    <n v="5"/>
    <n v="3"/>
    <x v="1"/>
  </r>
  <r>
    <x v="8"/>
    <n v="5"/>
    <n v="5"/>
    <x v="0"/>
  </r>
  <r>
    <x v="9"/>
    <n v="5"/>
    <n v="3"/>
    <x v="1"/>
  </r>
  <r>
    <x v="10"/>
    <n v="5"/>
    <n v="3"/>
    <x v="1"/>
  </r>
  <r>
    <x v="11"/>
    <n v="5"/>
    <n v="3"/>
    <x v="1"/>
  </r>
  <r>
    <x v="12"/>
    <n v="5"/>
    <n v="5"/>
    <x v="0"/>
  </r>
  <r>
    <x v="13"/>
    <n v="5"/>
    <n v="5"/>
    <x v="0"/>
  </r>
  <r>
    <x v="14"/>
    <n v="5"/>
    <n v="5"/>
    <x v="0"/>
  </r>
  <r>
    <x v="15"/>
    <n v="5"/>
    <n v="5"/>
    <x v="0"/>
  </r>
  <r>
    <x v="16"/>
    <n v="5"/>
    <n v="5"/>
    <x v="0"/>
  </r>
  <r>
    <x v="17"/>
    <n v="5"/>
    <n v="5"/>
    <x v="0"/>
  </r>
  <r>
    <x v="18"/>
    <n v="5"/>
    <n v="5"/>
    <x v="0"/>
  </r>
  <r>
    <x v="19"/>
    <n v="5"/>
    <n v="5"/>
    <x v="0"/>
  </r>
  <r>
    <x v="20"/>
    <n v="5"/>
    <n v="5"/>
    <x v="0"/>
  </r>
  <r>
    <x v="21"/>
    <n v="5"/>
    <n v="5"/>
    <x v="0"/>
  </r>
  <r>
    <x v="22"/>
    <n v="5"/>
    <n v="5"/>
    <x v="0"/>
  </r>
  <r>
    <x v="23"/>
    <n v="5"/>
    <n v="3"/>
    <x v="1"/>
  </r>
  <r>
    <x v="24"/>
    <n v="5"/>
    <n v="5"/>
    <x v="0"/>
  </r>
  <r>
    <x v="25"/>
    <n v="5"/>
    <n v="3"/>
    <x v="1"/>
  </r>
  <r>
    <x v="26"/>
    <n v="5"/>
    <n v="5"/>
    <x v="0"/>
  </r>
  <r>
    <x v="27"/>
    <n v="5"/>
    <n v="5"/>
    <x v="0"/>
  </r>
  <r>
    <x v="28"/>
    <n v="5"/>
    <n v="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 cacheId="5" applyNumberFormats="0" applyBorderFormats="0" applyFontFormats="0" applyPatternFormats="0" applyAlignmentFormats="0" applyWidthHeightFormats="0" dataCaption="" updatedVersion="8" compact="0" compactData="0">
  <location ref="A4:B12" firstHeaderRow="1" firstDataRow="1" firstDataCol="2"/>
  <pivotFields count="4">
    <pivotField name="Habilidad" axis="axisRow" compact="0" outline="0" multipleItemSelectionAllowed="1" showAll="0" sortType="ascending">
      <items count="30">
        <item x="9"/>
        <item x="3"/>
        <item x="2"/>
        <item x="1"/>
        <item x="10"/>
        <item x="7"/>
        <item x="4"/>
        <item x="27"/>
        <item x="12"/>
        <item x="26"/>
        <item x="19"/>
        <item x="23"/>
        <item x="17"/>
        <item x="18"/>
        <item x="13"/>
        <item x="20"/>
        <item x="21"/>
        <item x="5"/>
        <item x="0"/>
        <item x="24"/>
        <item x="11"/>
        <item x="28"/>
        <item x="16"/>
        <item x="15"/>
        <item x="6"/>
        <item x="8"/>
        <item x="25"/>
        <item x="22"/>
        <item x="14"/>
        <item t="default"/>
      </items>
    </pivotField>
    <pivotField name="Requiere" compact="0" outline="0" multipleItemSelectionAllowed="1" showAll="0"/>
    <pivotField name="Preparado" compact="0" outline="0" multipleItemSelectionAllowed="1" showAll="0"/>
    <pivotField name="Prioridad" axis="axisRow" compact="0" outline="0" multipleItemSelectionAllowed="1" showAll="0" sortType="ascending" defaultSubtotal="0">
      <items count="2">
        <item x="1"/>
        <item h="1" x="0"/>
      </items>
    </pivotField>
  </pivotFields>
  <rowFields count="2">
    <field x="3"/>
    <field x="0"/>
  </rowFields>
  <rowItems count="8">
    <i>
      <x/>
      <x/>
    </i>
    <i r="1">
      <x v="4"/>
    </i>
    <i r="1">
      <x v="5"/>
    </i>
    <i r="1">
      <x v="11"/>
    </i>
    <i r="1">
      <x v="20"/>
    </i>
    <i r="1">
      <x v="24"/>
    </i>
    <i r="1">
      <x v="26"/>
    </i>
    <i t="grand">
      <x/>
    </i>
  </rowItems>
  <colItems count="1">
    <i/>
  </colItem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C14:D22">
  <tableColumns count="2">
    <tableColumn id="1" xr3:uid="{00000000-0010-0000-0000-000001000000}" name="Análisis y Diseño"/>
    <tableColumn id="2" xr3:uid="{00000000-0010-0000-0000-000002000000}" name="Autoevaluación"/>
  </tableColumns>
  <tableStyleInfo name="Habilidades Técnic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40:D49">
  <tableColumns count="2">
    <tableColumn id="1" xr3:uid="{00000000-0010-0000-0100-000001000000}" name="Construcción y Gestión de proyectos"/>
    <tableColumn id="2" xr3:uid="{00000000-0010-0000-0100-000002000000}" name="Autoevaluación"/>
  </tableColumns>
  <tableStyleInfo name="Habilidades Técnicas-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topLeftCell="A6" workbookViewId="0"/>
  </sheetViews>
  <sheetFormatPr baseColWidth="10" defaultColWidth="12.59765625" defaultRowHeight="15" customHeight="1" x14ac:dyDescent="0.25"/>
  <cols>
    <col min="1" max="1" width="8.59765625" customWidth="1"/>
    <col min="2" max="2" width="154.59765625" customWidth="1"/>
    <col min="3" max="6" width="8.59765625" customWidth="1"/>
    <col min="7" max="26" width="14.3984375" customWidth="1"/>
  </cols>
  <sheetData>
    <row r="1" spans="1:6" ht="14.4" x14ac:dyDescent="0.3">
      <c r="A1" s="1"/>
      <c r="B1" s="1"/>
    </row>
    <row r="2" spans="1:6" ht="47.4" x14ac:dyDescent="0.9">
      <c r="B2" s="2" t="s">
        <v>0</v>
      </c>
      <c r="D2" s="3"/>
      <c r="E2" s="3"/>
      <c r="F2" s="3"/>
    </row>
    <row r="4" spans="1:6" ht="30" x14ac:dyDescent="0.25">
      <c r="B4" s="4" t="s">
        <v>1</v>
      </c>
    </row>
    <row r="5" spans="1:6" x14ac:dyDescent="0.25">
      <c r="B5" s="4"/>
    </row>
    <row r="6" spans="1:6" ht="15.6" x14ac:dyDescent="0.3">
      <c r="B6" s="5" t="s">
        <v>2</v>
      </c>
    </row>
    <row r="7" spans="1:6" ht="28.8" x14ac:dyDescent="0.55000000000000004">
      <c r="B7" s="5" t="s">
        <v>3</v>
      </c>
      <c r="C7" s="6"/>
    </row>
    <row r="8" spans="1:6" ht="28.8" x14ac:dyDescent="0.55000000000000004">
      <c r="B8" s="5" t="s">
        <v>4</v>
      </c>
      <c r="C8" s="6"/>
    </row>
    <row r="9" spans="1:6" ht="28.8" x14ac:dyDescent="0.55000000000000004">
      <c r="B9" s="5" t="s">
        <v>5</v>
      </c>
      <c r="C9" s="6"/>
    </row>
    <row r="10" spans="1:6" ht="15.6" x14ac:dyDescent="0.3">
      <c r="B10" s="5" t="s">
        <v>6</v>
      </c>
    </row>
    <row r="11" spans="1:6" x14ac:dyDescent="0.25">
      <c r="B11" s="7"/>
    </row>
    <row r="12" spans="1:6" x14ac:dyDescent="0.25">
      <c r="B12" s="4" t="s">
        <v>7</v>
      </c>
    </row>
    <row r="13" spans="1:6" x14ac:dyDescent="0.25">
      <c r="B13" s="7"/>
    </row>
    <row r="14" spans="1:6" ht="15.6" x14ac:dyDescent="0.3">
      <c r="B14" s="8"/>
    </row>
    <row r="15" spans="1:6" ht="15.6" x14ac:dyDescent="0.3">
      <c r="B15" s="8"/>
    </row>
    <row r="16" spans="1:6" ht="15.6" x14ac:dyDescent="0.3">
      <c r="B16" s="8"/>
    </row>
    <row r="17" spans="2:2" ht="15.6" x14ac:dyDescent="0.3">
      <c r="B17" s="8"/>
    </row>
    <row r="18" spans="2:2" ht="15.6" x14ac:dyDescent="0.3">
      <c r="B18" s="8"/>
    </row>
    <row r="19" spans="2:2" x14ac:dyDescent="0.25">
      <c r="B19" s="7"/>
    </row>
    <row r="21" spans="2:2" ht="15.75" customHeight="1" x14ac:dyDescent="0.3">
      <c r="B21" s="1" t="s">
        <v>8</v>
      </c>
    </row>
    <row r="22" spans="2:2" ht="15.75" customHeight="1" x14ac:dyDescent="0.25"/>
    <row r="23" spans="2:2" ht="15.75" customHeight="1" x14ac:dyDescent="0.25"/>
    <row r="24" spans="2:2" ht="15.75" customHeight="1" x14ac:dyDescent="0.25"/>
    <row r="25" spans="2:2" ht="15.75" customHeight="1" x14ac:dyDescent="0.25"/>
    <row r="26" spans="2:2" ht="15.75" customHeight="1" x14ac:dyDescent="0.25"/>
    <row r="27" spans="2:2" ht="15.75" customHeight="1" x14ac:dyDescent="0.25"/>
    <row r="28" spans="2:2" ht="15.75" customHeight="1" x14ac:dyDescent="0.25"/>
    <row r="29" spans="2:2" ht="15.75" customHeight="1" x14ac:dyDescent="0.25"/>
    <row r="30" spans="2:2" ht="15.75" customHeight="1" x14ac:dyDescent="0.25"/>
    <row r="31" spans="2:2" ht="15.75" customHeight="1" x14ac:dyDescent="0.25"/>
    <row r="32" spans="2: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spans="1:2" ht="15.75" customHeight="1" x14ac:dyDescent="0.25"/>
    <row r="50" spans="1:2" ht="15.75" customHeight="1" x14ac:dyDescent="0.25"/>
    <row r="51" spans="1:2" ht="15.75" customHeight="1" x14ac:dyDescent="0.25"/>
    <row r="52" spans="1:2" ht="15.75" customHeight="1" x14ac:dyDescent="0.3">
      <c r="A52" s="1" t="s">
        <v>8</v>
      </c>
      <c r="B52" s="1" t="s">
        <v>8</v>
      </c>
    </row>
    <row r="53" spans="1:2" ht="15.75" customHeight="1" x14ac:dyDescent="0.25"/>
    <row r="54" spans="1:2" ht="15.75" customHeight="1" x14ac:dyDescent="0.25"/>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1:Q1000"/>
  <sheetViews>
    <sheetView topLeftCell="A53" workbookViewId="0">
      <selection activeCell="D49" sqref="D49"/>
    </sheetView>
  </sheetViews>
  <sheetFormatPr baseColWidth="10" defaultColWidth="12.59765625" defaultRowHeight="15" customHeight="1" x14ac:dyDescent="0.25"/>
  <cols>
    <col min="1" max="1" width="5.59765625" customWidth="1"/>
    <col min="2" max="2" width="5.69921875" customWidth="1"/>
    <col min="3" max="3" width="31.8984375" customWidth="1"/>
    <col min="4" max="4" width="41.59765625" customWidth="1"/>
    <col min="5" max="5" width="15" customWidth="1"/>
    <col min="6" max="17" width="8.59765625" customWidth="1"/>
    <col min="18" max="26" width="14.3984375" customWidth="1"/>
  </cols>
  <sheetData>
    <row r="21" spans="2:17" ht="15.75" customHeight="1" x14ac:dyDescent="0.25"/>
    <row r="22" spans="2:17" ht="15.75" customHeight="1" x14ac:dyDescent="0.25"/>
    <row r="23" spans="2:17" ht="15.75" customHeight="1" x14ac:dyDescent="0.25"/>
    <row r="24" spans="2:17" ht="15.75" customHeight="1" x14ac:dyDescent="0.25"/>
    <row r="25" spans="2:17" ht="15.75" customHeight="1" x14ac:dyDescent="0.25"/>
    <row r="26" spans="2:17" ht="15.75" customHeight="1" x14ac:dyDescent="0.25"/>
    <row r="27" spans="2:17" ht="15.75" customHeight="1" x14ac:dyDescent="0.25"/>
    <row r="28" spans="2:17" ht="15.75" customHeight="1" x14ac:dyDescent="0.25"/>
    <row r="29" spans="2:17" ht="15.75" customHeight="1" x14ac:dyDescent="0.25"/>
    <row r="30" spans="2:17" ht="15.75" customHeight="1" x14ac:dyDescent="0.25"/>
    <row r="31" spans="2:17" ht="15.75" customHeight="1" x14ac:dyDescent="0.25"/>
    <row r="32" spans="2:17" ht="15" customHeight="1" x14ac:dyDescent="0.3">
      <c r="B32" s="9"/>
      <c r="C32" s="61" t="s">
        <v>9</v>
      </c>
      <c r="D32" s="62"/>
      <c r="E32" s="62"/>
      <c r="F32" s="9"/>
      <c r="G32" s="9"/>
      <c r="H32" s="9"/>
      <c r="I32" s="9"/>
      <c r="J32" s="9"/>
      <c r="K32" s="9"/>
      <c r="L32" s="9"/>
      <c r="M32" s="9"/>
      <c r="N32" s="9"/>
      <c r="O32" s="9"/>
      <c r="P32" s="9"/>
      <c r="Q32" s="9"/>
    </row>
    <row r="33" spans="2:17" ht="15.75" customHeight="1" x14ac:dyDescent="0.3">
      <c r="B33" s="9"/>
      <c r="C33" s="63"/>
      <c r="D33" s="58"/>
      <c r="E33" s="58"/>
      <c r="F33" s="9"/>
      <c r="G33" s="9"/>
      <c r="H33" s="9"/>
      <c r="I33" s="9"/>
      <c r="J33" s="9"/>
      <c r="K33" s="9"/>
      <c r="L33" s="9"/>
      <c r="M33" s="9"/>
      <c r="N33" s="9"/>
      <c r="O33" s="9"/>
      <c r="P33" s="9"/>
      <c r="Q33" s="9"/>
    </row>
    <row r="34" spans="2:17" ht="15.75" customHeight="1" x14ac:dyDescent="0.3">
      <c r="B34" s="9"/>
      <c r="C34" s="63"/>
      <c r="D34" s="58"/>
      <c r="E34" s="58"/>
      <c r="F34" s="9"/>
      <c r="G34" s="9"/>
      <c r="H34" s="9"/>
      <c r="I34" s="9"/>
      <c r="J34" s="9"/>
      <c r="K34" s="9"/>
      <c r="L34" s="9"/>
      <c r="M34" s="9"/>
      <c r="N34" s="9"/>
      <c r="O34" s="9"/>
      <c r="P34" s="9"/>
      <c r="Q34" s="9"/>
    </row>
    <row r="35" spans="2:17" ht="15.75" customHeight="1" x14ac:dyDescent="0.3">
      <c r="B35" s="9"/>
      <c r="C35" s="63"/>
      <c r="D35" s="58"/>
      <c r="E35" s="58"/>
      <c r="F35" s="9"/>
      <c r="G35" s="9"/>
      <c r="H35" s="9"/>
      <c r="I35" s="9"/>
      <c r="J35" s="9"/>
      <c r="K35" s="9"/>
      <c r="L35" s="9"/>
      <c r="M35" s="9"/>
      <c r="N35" s="9"/>
      <c r="O35" s="9"/>
      <c r="P35" s="9"/>
      <c r="Q35" s="9"/>
    </row>
    <row r="36" spans="2:17" ht="15.75" customHeight="1" x14ac:dyDescent="0.3">
      <c r="B36" s="9"/>
      <c r="C36" s="63"/>
      <c r="D36" s="58"/>
      <c r="E36" s="58"/>
      <c r="F36" s="9"/>
      <c r="G36" s="9"/>
      <c r="H36" s="9"/>
      <c r="I36" s="9"/>
      <c r="J36" s="9"/>
      <c r="K36" s="9"/>
      <c r="L36" s="9"/>
      <c r="M36" s="9"/>
      <c r="N36" s="9"/>
      <c r="O36" s="9"/>
      <c r="P36" s="9"/>
      <c r="Q36" s="9"/>
    </row>
    <row r="37" spans="2:17" ht="15.75" customHeight="1" x14ac:dyDescent="0.3">
      <c r="B37" s="9"/>
      <c r="C37" s="63"/>
      <c r="D37" s="58"/>
      <c r="E37" s="58"/>
      <c r="F37" s="9"/>
      <c r="G37" s="9"/>
      <c r="H37" s="9"/>
      <c r="I37" s="9"/>
      <c r="J37" s="9"/>
      <c r="K37" s="9"/>
      <c r="L37" s="9"/>
      <c r="M37" s="9"/>
      <c r="N37" s="9"/>
      <c r="O37" s="9"/>
      <c r="P37" s="9"/>
      <c r="Q37" s="9"/>
    </row>
    <row r="38" spans="2:17" ht="15.75" customHeight="1" x14ac:dyDescent="0.3">
      <c r="B38" s="9"/>
      <c r="C38" s="63"/>
      <c r="D38" s="58"/>
      <c r="E38" s="58"/>
      <c r="F38" s="9"/>
      <c r="G38" s="9"/>
      <c r="H38" s="9"/>
      <c r="I38" s="9"/>
      <c r="J38" s="9"/>
      <c r="K38" s="9"/>
      <c r="L38" s="9"/>
      <c r="M38" s="9"/>
      <c r="N38" s="9"/>
      <c r="O38" s="9"/>
      <c r="P38" s="9"/>
      <c r="Q38" s="9"/>
    </row>
    <row r="39" spans="2:17" ht="18.75" customHeight="1" x14ac:dyDescent="0.3">
      <c r="B39" s="9"/>
      <c r="C39" s="9"/>
      <c r="D39" s="9"/>
      <c r="E39" s="9"/>
      <c r="F39" s="9"/>
      <c r="G39" s="9"/>
      <c r="H39" s="9"/>
      <c r="I39" s="9"/>
      <c r="J39" s="9"/>
      <c r="K39" s="9"/>
      <c r="L39" s="9"/>
      <c r="M39" s="9"/>
      <c r="N39" s="9"/>
      <c r="O39" s="9"/>
      <c r="P39" s="9"/>
      <c r="Q39" s="9"/>
    </row>
    <row r="40" spans="2:17" ht="15.75" customHeight="1" x14ac:dyDescent="0.3">
      <c r="B40" s="9"/>
      <c r="C40" s="10" t="s">
        <v>10</v>
      </c>
      <c r="D40" s="10"/>
      <c r="E40" s="10" t="s">
        <v>11</v>
      </c>
      <c r="F40" s="9"/>
      <c r="G40" s="9"/>
      <c r="H40" s="9"/>
      <c r="I40" s="9"/>
      <c r="J40" s="9"/>
      <c r="K40" s="9"/>
      <c r="L40" s="9"/>
      <c r="M40" s="9"/>
      <c r="N40" s="9"/>
      <c r="O40" s="9"/>
      <c r="P40" s="9"/>
      <c r="Q40" s="9"/>
    </row>
    <row r="41" spans="2:17" ht="15.75" customHeight="1" x14ac:dyDescent="0.3">
      <c r="B41" s="9"/>
      <c r="C41" s="64" t="s">
        <v>12</v>
      </c>
      <c r="D41" s="11" t="s">
        <v>13</v>
      </c>
      <c r="E41" s="12">
        <v>4</v>
      </c>
      <c r="F41" s="9"/>
      <c r="G41" s="9"/>
      <c r="H41" s="9"/>
      <c r="I41" s="9"/>
      <c r="J41" s="9"/>
      <c r="K41" s="9"/>
      <c r="L41" s="9"/>
      <c r="M41" s="9"/>
      <c r="N41" s="9"/>
      <c r="O41" s="9"/>
      <c r="P41" s="9"/>
      <c r="Q41" s="9"/>
    </row>
    <row r="42" spans="2:17" ht="15.75" customHeight="1" x14ac:dyDescent="0.3">
      <c r="B42" s="9"/>
      <c r="C42" s="65"/>
      <c r="D42" s="11" t="s">
        <v>14</v>
      </c>
      <c r="E42" s="12">
        <v>5</v>
      </c>
      <c r="F42" s="9"/>
      <c r="G42" s="9"/>
      <c r="H42" s="9"/>
      <c r="I42" s="9"/>
      <c r="J42" s="9"/>
      <c r="K42" s="9"/>
      <c r="L42" s="9"/>
      <c r="M42" s="9"/>
      <c r="N42" s="9"/>
      <c r="O42" s="9"/>
      <c r="P42" s="9"/>
      <c r="Q42" s="9"/>
    </row>
    <row r="43" spans="2:17" ht="15.75" customHeight="1" x14ac:dyDescent="0.3">
      <c r="B43" s="9"/>
      <c r="C43" s="65"/>
      <c r="D43" s="11" t="s">
        <v>15</v>
      </c>
      <c r="E43" s="12">
        <v>5</v>
      </c>
      <c r="F43" s="9"/>
      <c r="G43" s="9"/>
      <c r="H43" s="9"/>
      <c r="I43" s="9"/>
      <c r="J43" s="9"/>
      <c r="K43" s="9"/>
      <c r="L43" s="9"/>
      <c r="M43" s="9"/>
      <c r="N43" s="9"/>
      <c r="O43" s="9"/>
      <c r="P43" s="9"/>
      <c r="Q43" s="9"/>
    </row>
    <row r="44" spans="2:17" ht="15.75" customHeight="1" x14ac:dyDescent="0.3">
      <c r="B44" s="9"/>
      <c r="C44" s="65"/>
      <c r="D44" s="11" t="s">
        <v>16</v>
      </c>
      <c r="E44" s="12">
        <v>4</v>
      </c>
      <c r="F44" s="9"/>
      <c r="G44" s="9"/>
      <c r="H44" s="9"/>
      <c r="I44" s="9"/>
      <c r="J44" s="9"/>
      <c r="K44" s="9"/>
      <c r="L44" s="9"/>
      <c r="M44" s="9"/>
      <c r="N44" s="9"/>
      <c r="O44" s="9"/>
      <c r="P44" s="9"/>
      <c r="Q44" s="9"/>
    </row>
    <row r="45" spans="2:17" ht="15.75" customHeight="1" x14ac:dyDescent="0.3">
      <c r="B45" s="9"/>
      <c r="C45" s="65"/>
      <c r="D45" s="11" t="s">
        <v>17</v>
      </c>
      <c r="E45" s="12">
        <v>4</v>
      </c>
      <c r="F45" s="9"/>
      <c r="G45" s="9"/>
      <c r="H45" s="9"/>
      <c r="I45" s="9"/>
      <c r="J45" s="9"/>
      <c r="K45" s="9"/>
      <c r="L45" s="9"/>
      <c r="M45" s="9"/>
      <c r="N45" s="9"/>
      <c r="O45" s="9"/>
      <c r="P45" s="9"/>
      <c r="Q45" s="9"/>
    </row>
    <row r="46" spans="2:17" ht="18.75" customHeight="1" x14ac:dyDescent="0.3">
      <c r="B46" s="9"/>
      <c r="C46" s="65"/>
      <c r="D46" s="11" t="s">
        <v>18</v>
      </c>
      <c r="E46" s="12">
        <v>5</v>
      </c>
      <c r="F46" s="9"/>
      <c r="G46" s="9"/>
      <c r="H46" s="9"/>
      <c r="I46" s="9"/>
      <c r="J46" s="9"/>
      <c r="K46" s="9"/>
      <c r="L46" s="9"/>
      <c r="M46" s="9"/>
      <c r="N46" s="9"/>
      <c r="O46" s="9"/>
      <c r="P46" s="9"/>
      <c r="Q46" s="9"/>
    </row>
    <row r="47" spans="2:17" ht="15.75" customHeight="1" x14ac:dyDescent="0.3">
      <c r="B47" s="9"/>
      <c r="C47" s="66"/>
      <c r="D47" s="11" t="s">
        <v>19</v>
      </c>
      <c r="E47" s="12">
        <v>5</v>
      </c>
      <c r="F47" s="9"/>
      <c r="G47" s="9"/>
      <c r="H47" s="9"/>
      <c r="I47" s="9"/>
      <c r="J47" s="9"/>
      <c r="K47" s="9"/>
      <c r="L47" s="9"/>
      <c r="M47" s="9"/>
      <c r="N47" s="9"/>
      <c r="O47" s="9"/>
      <c r="P47" s="9"/>
      <c r="Q47" s="9"/>
    </row>
    <row r="48" spans="2:17" ht="18.75" customHeight="1" x14ac:dyDescent="0.3">
      <c r="B48" s="9"/>
      <c r="C48" s="64" t="s">
        <v>20</v>
      </c>
      <c r="D48" s="13" t="s">
        <v>21</v>
      </c>
      <c r="E48" s="12">
        <v>5</v>
      </c>
      <c r="F48" s="9"/>
      <c r="G48" s="9"/>
      <c r="H48" s="9"/>
      <c r="I48" s="9"/>
      <c r="J48" s="9"/>
      <c r="K48" s="9"/>
      <c r="L48" s="9"/>
      <c r="M48" s="9"/>
      <c r="N48" s="9"/>
      <c r="O48" s="9"/>
      <c r="P48" s="9"/>
      <c r="Q48" s="9"/>
    </row>
    <row r="49" spans="2:17" ht="15.75" customHeight="1" x14ac:dyDescent="0.3">
      <c r="B49" s="9"/>
      <c r="C49" s="66"/>
      <c r="D49" s="13" t="s">
        <v>22</v>
      </c>
      <c r="E49" s="12">
        <v>5</v>
      </c>
      <c r="F49" s="9"/>
      <c r="G49" s="9"/>
      <c r="H49" s="9"/>
      <c r="I49" s="9"/>
      <c r="J49" s="9"/>
      <c r="K49" s="9"/>
      <c r="L49" s="9"/>
      <c r="M49" s="9"/>
      <c r="N49" s="9"/>
      <c r="O49" s="9"/>
      <c r="P49" s="9"/>
      <c r="Q49" s="9"/>
    </row>
    <row r="50" spans="2:17" ht="15.75" customHeight="1" x14ac:dyDescent="0.3">
      <c r="B50" s="9"/>
      <c r="C50" s="64" t="s">
        <v>23</v>
      </c>
      <c r="D50" s="13" t="s">
        <v>24</v>
      </c>
      <c r="E50" s="12">
        <v>4</v>
      </c>
      <c r="F50" s="9"/>
      <c r="G50" s="9"/>
      <c r="H50" s="9"/>
      <c r="I50" s="9"/>
      <c r="J50" s="9"/>
      <c r="K50" s="9"/>
      <c r="L50" s="9"/>
      <c r="M50" s="9"/>
      <c r="N50" s="9"/>
      <c r="O50" s="9"/>
      <c r="P50" s="9"/>
      <c r="Q50" s="9"/>
    </row>
    <row r="51" spans="2:17" ht="15.75" customHeight="1" x14ac:dyDescent="0.3">
      <c r="B51" s="9"/>
      <c r="C51" s="65"/>
      <c r="D51" s="13" t="s">
        <v>25</v>
      </c>
      <c r="E51" s="12">
        <v>4</v>
      </c>
      <c r="F51" s="9"/>
      <c r="G51" s="9"/>
      <c r="H51" s="9"/>
      <c r="I51" s="9"/>
      <c r="J51" s="9"/>
      <c r="K51" s="9"/>
      <c r="L51" s="9"/>
      <c r="M51" s="9"/>
      <c r="N51" s="9"/>
      <c r="O51" s="9"/>
      <c r="P51" s="9"/>
      <c r="Q51" s="9"/>
    </row>
    <row r="52" spans="2:17" ht="15.75" customHeight="1" x14ac:dyDescent="0.3">
      <c r="B52" s="9"/>
      <c r="C52" s="66"/>
      <c r="D52" s="13" t="s">
        <v>26</v>
      </c>
      <c r="E52" s="12">
        <v>4</v>
      </c>
      <c r="F52" s="9"/>
      <c r="G52" s="9"/>
      <c r="H52" s="9"/>
      <c r="I52" s="9"/>
      <c r="J52" s="9"/>
      <c r="K52" s="9"/>
      <c r="L52" s="9"/>
      <c r="M52" s="9"/>
      <c r="N52" s="9"/>
      <c r="O52" s="9"/>
      <c r="P52" s="9"/>
      <c r="Q52" s="9"/>
    </row>
    <row r="53" spans="2:17" ht="15.75" customHeight="1" x14ac:dyDescent="0.3">
      <c r="B53" s="9"/>
      <c r="C53" s="9"/>
      <c r="D53" s="9"/>
      <c r="E53" s="9"/>
      <c r="F53" s="9"/>
      <c r="G53" s="9"/>
      <c r="H53" s="9"/>
      <c r="I53" s="9"/>
      <c r="J53" s="9"/>
      <c r="K53" s="9"/>
      <c r="L53" s="9"/>
      <c r="M53" s="9"/>
      <c r="N53" s="9"/>
      <c r="O53" s="9"/>
      <c r="P53" s="9"/>
      <c r="Q53" s="9"/>
    </row>
    <row r="54" spans="2:17" ht="15.75" customHeight="1" x14ac:dyDescent="0.3">
      <c r="B54" s="9"/>
      <c r="C54" s="9"/>
      <c r="D54" s="9"/>
      <c r="E54" s="9"/>
      <c r="F54" s="9"/>
      <c r="G54" s="9"/>
      <c r="H54" s="9"/>
      <c r="I54" s="9"/>
      <c r="J54" s="9"/>
      <c r="K54" s="9"/>
      <c r="L54" s="9"/>
      <c r="M54" s="9"/>
      <c r="N54" s="9"/>
      <c r="O54" s="9"/>
      <c r="P54" s="9"/>
      <c r="Q54" s="9"/>
    </row>
    <row r="55" spans="2:17" ht="15.75" customHeight="1" x14ac:dyDescent="0.3">
      <c r="B55" s="9"/>
      <c r="C55" s="9"/>
      <c r="D55" s="9"/>
      <c r="E55" s="9"/>
      <c r="F55" s="9"/>
      <c r="G55" s="9"/>
      <c r="H55" s="9"/>
      <c r="I55" s="9"/>
      <c r="J55" s="9"/>
      <c r="K55" s="9"/>
      <c r="L55" s="9"/>
      <c r="M55" s="9"/>
      <c r="N55" s="9"/>
      <c r="O55" s="9"/>
      <c r="P55" s="9"/>
      <c r="Q55" s="9"/>
    </row>
    <row r="56" spans="2:17" ht="15.75" customHeight="1" x14ac:dyDescent="0.3">
      <c r="B56" s="9"/>
      <c r="C56" s="9"/>
      <c r="D56" s="9"/>
      <c r="E56" s="9"/>
      <c r="F56" s="9"/>
      <c r="G56" s="9"/>
      <c r="H56" s="9"/>
      <c r="I56" s="9"/>
      <c r="J56" s="9"/>
      <c r="K56" s="9"/>
      <c r="L56" s="9"/>
      <c r="M56" s="9"/>
      <c r="N56" s="9"/>
      <c r="O56" s="9"/>
      <c r="P56" s="9"/>
      <c r="Q56" s="9"/>
    </row>
    <row r="57" spans="2:17" ht="15.75" customHeight="1" x14ac:dyDescent="0.3">
      <c r="B57" s="9"/>
      <c r="C57" s="9"/>
      <c r="D57" s="9"/>
      <c r="E57" s="9"/>
      <c r="F57" s="9"/>
      <c r="G57" s="9"/>
      <c r="H57" s="9"/>
      <c r="I57" s="9"/>
      <c r="J57" s="9"/>
      <c r="K57" s="9"/>
      <c r="L57" s="9"/>
      <c r="M57" s="9"/>
      <c r="N57" s="9"/>
      <c r="O57" s="9"/>
      <c r="P57" s="9"/>
      <c r="Q57" s="9"/>
    </row>
    <row r="58" spans="2:17" ht="15.75" customHeight="1" x14ac:dyDescent="0.25"/>
    <row r="59" spans="2:17" ht="15.75" customHeight="1" x14ac:dyDescent="0.25"/>
    <row r="60" spans="2:17" ht="15.75" customHeight="1" x14ac:dyDescent="0.25"/>
    <row r="61" spans="2:17" ht="15.75" customHeight="1" x14ac:dyDescent="0.25"/>
    <row r="62" spans="2:17" ht="15.75" customHeight="1" x14ac:dyDescent="0.25"/>
    <row r="63" spans="2:17" ht="15.75" customHeight="1" x14ac:dyDescent="0.25"/>
    <row r="64" spans="2:17"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C32:E38"/>
    <mergeCell ref="C41:C47"/>
    <mergeCell ref="C48:C49"/>
    <mergeCell ref="C50:C52"/>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Q1000"/>
  <sheetViews>
    <sheetView topLeftCell="A54" workbookViewId="0">
      <selection activeCell="D50" sqref="D50"/>
    </sheetView>
  </sheetViews>
  <sheetFormatPr baseColWidth="10" defaultColWidth="12.59765625" defaultRowHeight="15" customHeight="1" x14ac:dyDescent="0.25"/>
  <cols>
    <col min="1" max="1" width="4.3984375" customWidth="1"/>
    <col min="2" max="2" width="5.3984375" customWidth="1"/>
    <col min="3" max="3" width="50" customWidth="1"/>
    <col min="4" max="4" width="17.19921875" customWidth="1"/>
    <col min="5" max="17" width="8.59765625" customWidth="1"/>
    <col min="18" max="26" width="14.3984375" customWidth="1"/>
  </cols>
  <sheetData>
    <row r="2" spans="2:17" ht="15" customHeight="1" x14ac:dyDescent="0.3">
      <c r="B2" s="67" t="s">
        <v>27</v>
      </c>
      <c r="C2" s="58"/>
      <c r="D2" s="58"/>
      <c r="E2" s="14"/>
    </row>
    <row r="3" spans="2:17" ht="14.4" x14ac:dyDescent="0.3">
      <c r="B3" s="58"/>
      <c r="C3" s="58"/>
      <c r="D3" s="58"/>
      <c r="E3" s="14"/>
    </row>
    <row r="4" spans="2:17" ht="14.4" x14ac:dyDescent="0.3">
      <c r="B4" s="58"/>
      <c r="C4" s="58"/>
      <c r="D4" s="58"/>
      <c r="E4" s="14"/>
    </row>
    <row r="5" spans="2:17" ht="14.4" x14ac:dyDescent="0.3">
      <c r="B5" s="58"/>
      <c r="C5" s="58"/>
      <c r="D5" s="58"/>
      <c r="E5" s="14"/>
    </row>
    <row r="6" spans="2:17" ht="14.4" x14ac:dyDescent="0.3">
      <c r="B6" s="58"/>
      <c r="C6" s="58"/>
      <c r="D6" s="58"/>
      <c r="E6" s="14"/>
    </row>
    <row r="7" spans="2:17" ht="14.4" x14ac:dyDescent="0.3">
      <c r="B7" s="58"/>
      <c r="C7" s="58"/>
      <c r="D7" s="58"/>
      <c r="E7" s="14"/>
    </row>
    <row r="8" spans="2:17" ht="14.4" x14ac:dyDescent="0.3">
      <c r="B8" s="58"/>
      <c r="C8" s="58"/>
      <c r="D8" s="58"/>
      <c r="E8" s="14"/>
    </row>
    <row r="9" spans="2:17" ht="14.4" x14ac:dyDescent="0.3">
      <c r="B9" s="15"/>
      <c r="C9" s="15"/>
      <c r="D9" s="15"/>
      <c r="E9" s="15"/>
      <c r="F9" s="15"/>
      <c r="G9" s="15"/>
      <c r="H9" s="15"/>
      <c r="I9" s="15"/>
      <c r="J9" s="15"/>
      <c r="K9" s="15"/>
      <c r="L9" s="15"/>
      <c r="M9" s="15"/>
      <c r="N9" s="15"/>
      <c r="O9" s="15"/>
      <c r="P9" s="15"/>
      <c r="Q9" s="15"/>
    </row>
    <row r="10" spans="2:17" ht="14.4" x14ac:dyDescent="0.3">
      <c r="B10" s="15"/>
      <c r="C10" s="15"/>
      <c r="D10" s="15"/>
      <c r="E10" s="15"/>
      <c r="F10" s="15"/>
      <c r="G10" s="15"/>
      <c r="H10" s="15"/>
      <c r="I10" s="15"/>
      <c r="J10" s="15"/>
      <c r="K10" s="15"/>
      <c r="L10" s="15"/>
      <c r="M10" s="15"/>
      <c r="N10" s="15"/>
      <c r="O10" s="15"/>
      <c r="P10" s="15"/>
      <c r="Q10" s="15"/>
    </row>
    <row r="11" spans="2:17" ht="14.4" x14ac:dyDescent="0.3">
      <c r="B11" s="15"/>
      <c r="C11" s="15"/>
      <c r="D11" s="15"/>
      <c r="E11" s="15"/>
      <c r="F11" s="15"/>
      <c r="G11" s="15"/>
      <c r="H11" s="15"/>
      <c r="I11" s="15"/>
      <c r="J11" s="15"/>
      <c r="K11" s="15"/>
      <c r="L11" s="15"/>
      <c r="M11" s="15"/>
      <c r="N11" s="15"/>
      <c r="O11" s="15"/>
      <c r="P11" s="15"/>
      <c r="Q11" s="15"/>
    </row>
    <row r="12" spans="2:17" ht="14.4" x14ac:dyDescent="0.3">
      <c r="B12" s="15"/>
      <c r="C12" s="15"/>
      <c r="D12" s="15"/>
      <c r="E12" s="15"/>
      <c r="F12" s="15"/>
      <c r="G12" s="15"/>
      <c r="H12" s="15"/>
      <c r="I12" s="15"/>
      <c r="J12" s="15"/>
      <c r="K12" s="15"/>
      <c r="L12" s="15"/>
      <c r="M12" s="15"/>
      <c r="N12" s="15"/>
      <c r="O12" s="15"/>
      <c r="P12" s="15"/>
      <c r="Q12" s="15"/>
    </row>
    <row r="13" spans="2:17" ht="14.4" x14ac:dyDescent="0.3">
      <c r="B13" s="15"/>
      <c r="C13" s="15"/>
      <c r="D13" s="15"/>
      <c r="E13" s="15"/>
      <c r="F13" s="15"/>
      <c r="G13" s="15"/>
      <c r="H13" s="15"/>
      <c r="I13" s="15"/>
      <c r="J13" s="15"/>
      <c r="K13" s="15"/>
      <c r="L13" s="15"/>
      <c r="M13" s="15"/>
      <c r="N13" s="15"/>
      <c r="O13" s="15"/>
      <c r="P13" s="15"/>
      <c r="Q13" s="15"/>
    </row>
    <row r="14" spans="2:17" ht="14.4" x14ac:dyDescent="0.3">
      <c r="B14" s="15"/>
      <c r="C14" s="16" t="s">
        <v>28</v>
      </c>
      <c r="D14" s="16" t="s">
        <v>11</v>
      </c>
      <c r="E14" s="15"/>
      <c r="F14" s="15"/>
      <c r="G14" s="15"/>
      <c r="H14" s="15"/>
      <c r="I14" s="15"/>
      <c r="J14" s="15"/>
      <c r="K14" s="15"/>
      <c r="L14" s="15"/>
      <c r="M14" s="15"/>
      <c r="N14" s="15"/>
      <c r="O14" s="15"/>
      <c r="P14" s="15"/>
      <c r="Q14" s="15"/>
    </row>
    <row r="15" spans="2:17" ht="14.4" x14ac:dyDescent="0.3">
      <c r="B15" s="15"/>
      <c r="C15" s="17" t="s">
        <v>29</v>
      </c>
      <c r="D15" s="18">
        <v>5</v>
      </c>
      <c r="E15" s="15"/>
      <c r="F15" s="15"/>
      <c r="G15" s="15"/>
      <c r="H15" s="15"/>
      <c r="I15" s="15"/>
      <c r="J15" s="15"/>
      <c r="K15" s="15"/>
      <c r="L15" s="15"/>
      <c r="M15" s="15"/>
      <c r="N15" s="15"/>
      <c r="O15" s="15"/>
      <c r="P15" s="15"/>
      <c r="Q15" s="15"/>
    </row>
    <row r="16" spans="2:17" ht="14.4" x14ac:dyDescent="0.3">
      <c r="B16" s="15"/>
      <c r="C16" s="17" t="s">
        <v>30</v>
      </c>
      <c r="D16" s="18">
        <f>D17</f>
        <v>4.5</v>
      </c>
      <c r="E16" s="15"/>
      <c r="F16" s="15"/>
      <c r="G16" s="15"/>
      <c r="H16" s="15"/>
      <c r="I16" s="15"/>
      <c r="J16" s="15"/>
      <c r="K16" s="15"/>
      <c r="L16" s="15"/>
      <c r="M16" s="15"/>
      <c r="N16" s="15"/>
      <c r="O16" s="15"/>
      <c r="P16" s="15"/>
      <c r="Q16" s="15"/>
    </row>
    <row r="17" spans="2:17" ht="14.4" x14ac:dyDescent="0.3">
      <c r="B17" s="15"/>
      <c r="C17" s="17" t="s">
        <v>31</v>
      </c>
      <c r="D17" s="18">
        <v>4.5</v>
      </c>
      <c r="E17" s="15"/>
      <c r="F17" s="15"/>
      <c r="G17" s="15"/>
      <c r="H17" s="15"/>
      <c r="I17" s="15"/>
      <c r="J17" s="15"/>
      <c r="K17" s="15"/>
      <c r="L17" s="15"/>
      <c r="M17" s="15"/>
      <c r="N17" s="15"/>
      <c r="O17" s="15"/>
      <c r="P17" s="15"/>
      <c r="Q17" s="15"/>
    </row>
    <row r="18" spans="2:17" ht="14.4" x14ac:dyDescent="0.3">
      <c r="B18" s="15"/>
      <c r="C18" s="17" t="s">
        <v>32</v>
      </c>
      <c r="D18" s="18">
        <v>4</v>
      </c>
      <c r="E18" s="15"/>
      <c r="F18" s="15"/>
      <c r="G18" s="15"/>
      <c r="H18" s="15"/>
      <c r="I18" s="15"/>
      <c r="J18" s="15"/>
      <c r="K18" s="15"/>
      <c r="L18" s="15"/>
      <c r="M18" s="15"/>
      <c r="N18" s="15"/>
      <c r="O18" s="15"/>
      <c r="P18" s="15"/>
      <c r="Q18" s="15"/>
    </row>
    <row r="19" spans="2:17" ht="14.4" x14ac:dyDescent="0.3">
      <c r="B19" s="15"/>
      <c r="C19" s="17" t="s">
        <v>33</v>
      </c>
      <c r="D19" s="18">
        <v>5</v>
      </c>
      <c r="E19" s="15"/>
      <c r="F19" s="15"/>
      <c r="G19" s="15"/>
      <c r="H19" s="15"/>
      <c r="I19" s="15"/>
      <c r="J19" s="15"/>
      <c r="K19" s="15"/>
      <c r="L19" s="15"/>
      <c r="M19" s="15"/>
      <c r="N19" s="15"/>
      <c r="O19" s="15"/>
      <c r="P19" s="15"/>
      <c r="Q19" s="15"/>
    </row>
    <row r="20" spans="2:17" ht="14.4" x14ac:dyDescent="0.3">
      <c r="B20" s="15"/>
      <c r="C20" s="17" t="s">
        <v>34</v>
      </c>
      <c r="D20" s="18">
        <v>4</v>
      </c>
      <c r="E20" s="15"/>
      <c r="F20" s="15"/>
      <c r="G20" s="15"/>
      <c r="H20" s="15"/>
      <c r="I20" s="15"/>
      <c r="J20" s="15"/>
      <c r="K20" s="15"/>
      <c r="L20" s="15"/>
      <c r="M20" s="15"/>
      <c r="N20" s="15"/>
      <c r="O20" s="15"/>
      <c r="P20" s="15"/>
      <c r="Q20" s="15"/>
    </row>
    <row r="21" spans="2:17" ht="15.75" customHeight="1" x14ac:dyDescent="0.3">
      <c r="B21" s="15"/>
      <c r="C21" s="17" t="s">
        <v>35</v>
      </c>
      <c r="D21" s="18">
        <v>4</v>
      </c>
      <c r="E21" s="15"/>
      <c r="F21" s="15"/>
      <c r="G21" s="15"/>
      <c r="H21" s="15"/>
      <c r="I21" s="15"/>
      <c r="J21" s="15"/>
      <c r="K21" s="15"/>
      <c r="L21" s="15"/>
      <c r="M21" s="15"/>
      <c r="N21" s="15"/>
      <c r="O21" s="15"/>
      <c r="P21" s="15"/>
      <c r="Q21" s="15"/>
    </row>
    <row r="22" spans="2:17" ht="15.75" customHeight="1" x14ac:dyDescent="0.3">
      <c r="B22" s="15"/>
      <c r="C22" s="17" t="s">
        <v>36</v>
      </c>
      <c r="D22" s="18">
        <v>5</v>
      </c>
      <c r="E22" s="15"/>
      <c r="F22" s="15"/>
      <c r="G22" s="15"/>
      <c r="H22" s="15"/>
      <c r="I22" s="15"/>
      <c r="J22" s="15"/>
      <c r="K22" s="15"/>
      <c r="L22" s="15"/>
      <c r="M22" s="15"/>
      <c r="N22" s="15"/>
      <c r="O22" s="15"/>
      <c r="P22" s="15"/>
      <c r="Q22" s="15"/>
    </row>
    <row r="23" spans="2:17" ht="15.75" customHeight="1" x14ac:dyDescent="0.3">
      <c r="B23" s="15"/>
      <c r="C23" s="15"/>
      <c r="D23" s="15"/>
      <c r="E23" s="15"/>
      <c r="F23" s="15"/>
      <c r="G23" s="15"/>
      <c r="H23" s="15"/>
      <c r="I23" s="15"/>
      <c r="J23" s="15"/>
      <c r="K23" s="15"/>
      <c r="L23" s="15"/>
      <c r="M23" s="15"/>
      <c r="N23" s="15"/>
      <c r="O23" s="15"/>
      <c r="P23" s="15"/>
      <c r="Q23" s="15"/>
    </row>
    <row r="24" spans="2:17" ht="15.75" customHeight="1" x14ac:dyDescent="0.3">
      <c r="B24" s="15"/>
      <c r="C24" s="15"/>
      <c r="D24" s="15"/>
      <c r="E24" s="15"/>
      <c r="F24" s="15"/>
      <c r="G24" s="15"/>
      <c r="H24" s="15"/>
      <c r="I24" s="15"/>
      <c r="J24" s="15"/>
      <c r="K24" s="15"/>
      <c r="L24" s="15"/>
      <c r="M24" s="15"/>
      <c r="N24" s="15"/>
      <c r="O24" s="15"/>
      <c r="P24" s="15"/>
      <c r="Q24" s="15"/>
    </row>
    <row r="25" spans="2:17" ht="15.75" customHeight="1" x14ac:dyDescent="0.3">
      <c r="B25" s="15"/>
      <c r="C25" s="15"/>
      <c r="D25" s="15"/>
      <c r="E25" s="15"/>
      <c r="F25" s="15"/>
      <c r="G25" s="15"/>
      <c r="H25" s="15"/>
      <c r="I25" s="15"/>
      <c r="J25" s="15"/>
      <c r="K25" s="15"/>
      <c r="L25" s="15"/>
      <c r="M25" s="15"/>
      <c r="N25" s="15"/>
      <c r="O25" s="15"/>
      <c r="P25" s="15"/>
      <c r="Q25" s="15"/>
    </row>
    <row r="26" spans="2:17" ht="15.75" customHeight="1" x14ac:dyDescent="0.3">
      <c r="B26" s="15"/>
      <c r="C26" s="15"/>
      <c r="D26" s="15"/>
      <c r="E26" s="15"/>
      <c r="F26" s="15"/>
      <c r="G26" s="15"/>
      <c r="H26" s="15"/>
      <c r="I26" s="15"/>
      <c r="J26" s="15"/>
      <c r="K26" s="15"/>
      <c r="L26" s="15"/>
      <c r="M26" s="15"/>
      <c r="N26" s="15"/>
      <c r="O26" s="15"/>
      <c r="P26" s="15"/>
      <c r="Q26" s="15"/>
    </row>
    <row r="27" spans="2:17" ht="15.75" customHeight="1" x14ac:dyDescent="0.3">
      <c r="B27" s="15"/>
      <c r="C27" s="15"/>
      <c r="D27" s="15"/>
      <c r="E27" s="15"/>
      <c r="F27" s="15"/>
      <c r="G27" s="15"/>
      <c r="H27" s="15"/>
      <c r="I27" s="15"/>
      <c r="J27" s="15"/>
      <c r="K27" s="15"/>
      <c r="L27" s="15"/>
      <c r="M27" s="15"/>
      <c r="N27" s="15"/>
      <c r="O27" s="15"/>
      <c r="P27" s="15"/>
      <c r="Q27" s="15"/>
    </row>
    <row r="28" spans="2:17" ht="15.75" customHeight="1" x14ac:dyDescent="0.3">
      <c r="B28" s="15"/>
      <c r="C28" s="15"/>
      <c r="D28" s="15"/>
      <c r="E28" s="15"/>
      <c r="F28" s="15"/>
      <c r="G28" s="15"/>
      <c r="H28" s="15"/>
      <c r="I28" s="15"/>
      <c r="J28" s="15"/>
      <c r="K28" s="15"/>
      <c r="L28" s="15"/>
      <c r="M28" s="15"/>
      <c r="N28" s="15"/>
      <c r="O28" s="15"/>
      <c r="P28" s="15"/>
      <c r="Q28" s="15"/>
    </row>
    <row r="29" spans="2:17" ht="15.75" customHeight="1" x14ac:dyDescent="0.3">
      <c r="B29" s="15"/>
      <c r="C29" s="15"/>
      <c r="D29" s="15"/>
      <c r="E29" s="15"/>
      <c r="F29" s="15"/>
      <c r="G29" s="15"/>
      <c r="H29" s="15"/>
      <c r="I29" s="15"/>
      <c r="J29" s="15"/>
      <c r="K29" s="15"/>
      <c r="L29" s="15"/>
      <c r="M29" s="15"/>
      <c r="N29" s="15"/>
      <c r="O29" s="15"/>
      <c r="P29" s="15"/>
      <c r="Q29" s="15"/>
    </row>
    <row r="30" spans="2:17" ht="15.75" customHeight="1" x14ac:dyDescent="0.3">
      <c r="B30" s="15"/>
      <c r="C30" s="15"/>
      <c r="D30" s="15"/>
      <c r="E30" s="15"/>
      <c r="F30" s="15"/>
      <c r="G30" s="15"/>
      <c r="H30" s="15"/>
      <c r="I30" s="15"/>
      <c r="J30" s="15"/>
      <c r="K30" s="15"/>
      <c r="L30" s="15"/>
      <c r="M30" s="15"/>
      <c r="N30" s="15"/>
      <c r="O30" s="15"/>
      <c r="P30" s="15"/>
      <c r="Q30" s="15"/>
    </row>
    <row r="31" spans="2:17" ht="15.75" customHeight="1" x14ac:dyDescent="0.3">
      <c r="B31" s="15"/>
      <c r="C31" s="15"/>
      <c r="D31" s="15"/>
      <c r="E31" s="15"/>
      <c r="F31" s="15"/>
      <c r="G31" s="15"/>
      <c r="H31" s="15"/>
      <c r="I31" s="15"/>
      <c r="J31" s="15"/>
      <c r="K31" s="15"/>
      <c r="L31" s="15"/>
      <c r="M31" s="15"/>
      <c r="N31" s="15"/>
      <c r="O31" s="15"/>
      <c r="P31" s="15"/>
      <c r="Q31" s="15"/>
    </row>
    <row r="32" spans="2:17" ht="15.75" customHeight="1" x14ac:dyDescent="0.3">
      <c r="B32" s="15"/>
      <c r="C32" s="15"/>
      <c r="D32" s="15"/>
      <c r="E32" s="15"/>
      <c r="F32" s="15"/>
      <c r="G32" s="15"/>
      <c r="H32" s="15"/>
      <c r="I32" s="15"/>
      <c r="J32" s="15"/>
      <c r="K32" s="15"/>
      <c r="L32" s="15"/>
      <c r="M32" s="15"/>
      <c r="N32" s="15"/>
      <c r="O32" s="15"/>
      <c r="P32" s="15"/>
      <c r="Q32" s="15"/>
    </row>
    <row r="33" spans="2:17" ht="15.75" customHeight="1" x14ac:dyDescent="0.25"/>
    <row r="34" spans="2:17" ht="15.75" customHeight="1" x14ac:dyDescent="0.25"/>
    <row r="35" spans="2:17" ht="15.75" customHeight="1" x14ac:dyDescent="0.25"/>
    <row r="36" spans="2:17" ht="15.75" customHeight="1" x14ac:dyDescent="0.3">
      <c r="B36" s="19"/>
      <c r="C36" s="19"/>
      <c r="D36" s="19"/>
      <c r="E36" s="19"/>
      <c r="F36" s="19"/>
      <c r="G36" s="19"/>
      <c r="H36" s="19"/>
      <c r="I36" s="19"/>
      <c r="J36" s="19"/>
      <c r="K36" s="19"/>
      <c r="L36" s="19"/>
      <c r="M36" s="19"/>
      <c r="N36" s="19"/>
      <c r="O36" s="19"/>
      <c r="P36" s="19"/>
      <c r="Q36" s="19"/>
    </row>
    <row r="37" spans="2:17" ht="15.75" customHeight="1" x14ac:dyDescent="0.3">
      <c r="B37" s="19"/>
      <c r="C37" s="19"/>
      <c r="D37" s="19"/>
      <c r="E37" s="19"/>
      <c r="F37" s="19"/>
      <c r="G37" s="19"/>
      <c r="H37" s="19"/>
      <c r="I37" s="19"/>
      <c r="J37" s="19"/>
      <c r="K37" s="19"/>
      <c r="L37" s="19"/>
      <c r="M37" s="19"/>
      <c r="N37" s="19"/>
      <c r="O37" s="19"/>
      <c r="P37" s="19"/>
      <c r="Q37" s="19"/>
    </row>
    <row r="38" spans="2:17" ht="15.75" customHeight="1" x14ac:dyDescent="0.3">
      <c r="B38" s="19"/>
      <c r="C38" s="19"/>
      <c r="D38" s="19"/>
      <c r="E38" s="19"/>
      <c r="F38" s="19"/>
      <c r="G38" s="19"/>
      <c r="H38" s="19"/>
      <c r="I38" s="19"/>
      <c r="J38" s="19"/>
      <c r="K38" s="19"/>
      <c r="L38" s="19"/>
      <c r="M38" s="19"/>
      <c r="N38" s="19"/>
      <c r="O38" s="19"/>
      <c r="P38" s="19"/>
      <c r="Q38" s="19"/>
    </row>
    <row r="39" spans="2:17" ht="15.75" customHeight="1" x14ac:dyDescent="0.3">
      <c r="B39" s="19"/>
      <c r="C39" s="19"/>
      <c r="D39" s="19"/>
      <c r="E39" s="19"/>
      <c r="F39" s="19"/>
      <c r="G39" s="19"/>
      <c r="H39" s="19"/>
      <c r="I39" s="19"/>
      <c r="J39" s="19"/>
      <c r="K39" s="19"/>
      <c r="L39" s="19"/>
      <c r="M39" s="19"/>
      <c r="N39" s="19"/>
      <c r="O39" s="19"/>
      <c r="P39" s="19"/>
      <c r="Q39" s="19"/>
    </row>
    <row r="40" spans="2:17" ht="15.75" customHeight="1" x14ac:dyDescent="0.3">
      <c r="B40" s="19"/>
      <c r="C40" s="20" t="s">
        <v>37</v>
      </c>
      <c r="D40" s="20" t="s">
        <v>11</v>
      </c>
      <c r="E40" s="19"/>
      <c r="F40" s="19"/>
      <c r="G40" s="19"/>
      <c r="H40" s="19"/>
      <c r="I40" s="19"/>
      <c r="J40" s="19"/>
      <c r="K40" s="19"/>
      <c r="L40" s="19"/>
      <c r="M40" s="19"/>
      <c r="N40" s="19"/>
      <c r="O40" s="19"/>
      <c r="P40" s="19"/>
      <c r="Q40" s="19"/>
    </row>
    <row r="41" spans="2:17" ht="15.75" customHeight="1" x14ac:dyDescent="0.3">
      <c r="B41" s="19"/>
      <c r="C41" s="21" t="s">
        <v>38</v>
      </c>
      <c r="D41" s="22">
        <v>5</v>
      </c>
      <c r="E41" s="19"/>
      <c r="F41" s="19"/>
      <c r="G41" s="19"/>
      <c r="H41" s="19"/>
      <c r="I41" s="19"/>
      <c r="J41" s="19"/>
      <c r="K41" s="19"/>
      <c r="L41" s="19"/>
      <c r="M41" s="19"/>
      <c r="N41" s="19"/>
      <c r="O41" s="19"/>
      <c r="P41" s="19"/>
      <c r="Q41" s="19"/>
    </row>
    <row r="42" spans="2:17" ht="15.75" customHeight="1" x14ac:dyDescent="0.3">
      <c r="B42" s="19"/>
      <c r="C42" s="21" t="s">
        <v>39</v>
      </c>
      <c r="D42" s="22">
        <v>4.5</v>
      </c>
      <c r="E42" s="19"/>
      <c r="F42" s="19"/>
      <c r="G42" s="19"/>
      <c r="H42" s="19"/>
      <c r="I42" s="19"/>
      <c r="J42" s="19"/>
      <c r="K42" s="19"/>
      <c r="L42" s="19"/>
      <c r="M42" s="19"/>
      <c r="N42" s="19"/>
      <c r="O42" s="19"/>
      <c r="P42" s="19"/>
      <c r="Q42" s="19"/>
    </row>
    <row r="43" spans="2:17" ht="15.75" customHeight="1" x14ac:dyDescent="0.3">
      <c r="B43" s="19"/>
      <c r="C43" s="21" t="s">
        <v>40</v>
      </c>
      <c r="D43" s="22">
        <v>5</v>
      </c>
      <c r="E43" s="19"/>
      <c r="F43" s="19"/>
      <c r="G43" s="19"/>
      <c r="H43" s="19"/>
      <c r="I43" s="19"/>
      <c r="J43" s="19"/>
      <c r="K43" s="19"/>
      <c r="L43" s="19"/>
      <c r="M43" s="19"/>
      <c r="N43" s="19"/>
      <c r="O43" s="19"/>
      <c r="P43" s="19"/>
      <c r="Q43" s="19"/>
    </row>
    <row r="44" spans="2:17" ht="15.75" customHeight="1" x14ac:dyDescent="0.3">
      <c r="B44" s="19"/>
      <c r="C44" s="21" t="s">
        <v>41</v>
      </c>
      <c r="D44" s="22">
        <v>4</v>
      </c>
      <c r="E44" s="19"/>
      <c r="F44" s="19"/>
      <c r="G44" s="19"/>
      <c r="H44" s="19"/>
      <c r="I44" s="19"/>
      <c r="J44" s="19"/>
      <c r="K44" s="19"/>
      <c r="L44" s="19"/>
      <c r="M44" s="19"/>
      <c r="N44" s="19"/>
      <c r="O44" s="19"/>
      <c r="P44" s="19"/>
      <c r="Q44" s="19"/>
    </row>
    <row r="45" spans="2:17" ht="15.75" customHeight="1" x14ac:dyDescent="0.3">
      <c r="B45" s="19"/>
      <c r="C45" s="21" t="s">
        <v>42</v>
      </c>
      <c r="D45" s="22">
        <v>4</v>
      </c>
      <c r="E45" s="19"/>
      <c r="F45" s="19"/>
      <c r="G45" s="19"/>
      <c r="H45" s="19"/>
      <c r="I45" s="19"/>
      <c r="J45" s="19"/>
      <c r="K45" s="19"/>
      <c r="L45" s="19"/>
      <c r="M45" s="19"/>
      <c r="N45" s="19"/>
      <c r="O45" s="19"/>
      <c r="P45" s="19"/>
      <c r="Q45" s="19"/>
    </row>
    <row r="46" spans="2:17" ht="15.75" customHeight="1" x14ac:dyDescent="0.3">
      <c r="B46" s="19"/>
      <c r="C46" s="21" t="s">
        <v>43</v>
      </c>
      <c r="D46" s="22">
        <v>4</v>
      </c>
      <c r="E46" s="19"/>
      <c r="F46" s="19"/>
      <c r="G46" s="19"/>
      <c r="H46" s="19"/>
      <c r="I46" s="19"/>
      <c r="J46" s="19"/>
      <c r="K46" s="19"/>
      <c r="L46" s="19"/>
      <c r="M46" s="19"/>
      <c r="N46" s="19"/>
      <c r="O46" s="19"/>
      <c r="P46" s="19"/>
      <c r="Q46" s="19"/>
    </row>
    <row r="47" spans="2:17" ht="15.75" customHeight="1" x14ac:dyDescent="0.3">
      <c r="B47" s="19"/>
      <c r="C47" s="21" t="s">
        <v>44</v>
      </c>
      <c r="D47" s="22">
        <v>4.5</v>
      </c>
      <c r="E47" s="19"/>
      <c r="F47" s="19"/>
      <c r="G47" s="19"/>
      <c r="H47" s="19"/>
      <c r="I47" s="19"/>
      <c r="J47" s="19"/>
      <c r="K47" s="19"/>
      <c r="L47" s="19"/>
      <c r="M47" s="19"/>
      <c r="N47" s="19"/>
      <c r="O47" s="19"/>
      <c r="P47" s="19"/>
      <c r="Q47" s="19"/>
    </row>
    <row r="48" spans="2:17" ht="15.75" customHeight="1" x14ac:dyDescent="0.3">
      <c r="B48" s="19"/>
      <c r="C48" s="21" t="s">
        <v>45</v>
      </c>
      <c r="D48" s="22">
        <v>5</v>
      </c>
      <c r="E48" s="19"/>
      <c r="F48" s="19"/>
      <c r="G48" s="19"/>
      <c r="H48" s="19"/>
      <c r="I48" s="19"/>
      <c r="J48" s="19"/>
      <c r="K48" s="19"/>
      <c r="L48" s="19"/>
      <c r="M48" s="19"/>
      <c r="N48" s="19"/>
      <c r="O48" s="19"/>
      <c r="P48" s="19"/>
      <c r="Q48" s="19"/>
    </row>
    <row r="49" spans="2:17" ht="15.75" customHeight="1" x14ac:dyDescent="0.3">
      <c r="B49" s="19"/>
      <c r="C49" s="21" t="s">
        <v>46</v>
      </c>
      <c r="D49" s="22">
        <v>5</v>
      </c>
      <c r="E49" s="19"/>
      <c r="F49" s="19"/>
      <c r="G49" s="19"/>
      <c r="H49" s="19"/>
      <c r="I49" s="19"/>
      <c r="J49" s="19"/>
      <c r="K49" s="19"/>
      <c r="L49" s="19"/>
      <c r="M49" s="19"/>
      <c r="N49" s="19"/>
      <c r="O49" s="19"/>
      <c r="P49" s="19"/>
      <c r="Q49" s="19"/>
    </row>
    <row r="50" spans="2:17" ht="15.75" customHeight="1" x14ac:dyDescent="0.3">
      <c r="B50" s="19"/>
      <c r="C50" s="19"/>
      <c r="D50" s="19"/>
      <c r="E50" s="19"/>
      <c r="F50" s="19"/>
      <c r="G50" s="19"/>
      <c r="H50" s="19"/>
      <c r="I50" s="19"/>
      <c r="J50" s="19"/>
      <c r="K50" s="19"/>
      <c r="L50" s="19"/>
      <c r="M50" s="19"/>
      <c r="N50" s="19"/>
      <c r="O50" s="19"/>
      <c r="P50" s="19"/>
      <c r="Q50" s="19"/>
    </row>
    <row r="51" spans="2:17" ht="15.75" customHeight="1" x14ac:dyDescent="0.3">
      <c r="B51" s="19"/>
      <c r="C51" s="19"/>
      <c r="D51" s="19"/>
      <c r="E51" s="19"/>
      <c r="F51" s="19"/>
      <c r="G51" s="19"/>
      <c r="H51" s="19"/>
      <c r="I51" s="19"/>
      <c r="J51" s="19"/>
      <c r="K51" s="19"/>
      <c r="L51" s="19"/>
      <c r="M51" s="19"/>
      <c r="N51" s="19"/>
      <c r="O51" s="19"/>
      <c r="P51" s="19"/>
      <c r="Q51" s="19"/>
    </row>
    <row r="52" spans="2:17" ht="15.75" customHeight="1" x14ac:dyDescent="0.3">
      <c r="B52" s="19"/>
      <c r="C52" s="19"/>
      <c r="D52" s="19"/>
      <c r="E52" s="19"/>
      <c r="F52" s="19"/>
      <c r="G52" s="19"/>
      <c r="H52" s="19"/>
      <c r="I52" s="19"/>
      <c r="J52" s="19"/>
      <c r="K52" s="19"/>
      <c r="L52" s="19"/>
      <c r="M52" s="19"/>
      <c r="N52" s="19"/>
      <c r="O52" s="19"/>
      <c r="P52" s="19"/>
      <c r="Q52" s="19"/>
    </row>
    <row r="53" spans="2:17" ht="15.75" customHeight="1" x14ac:dyDescent="0.3">
      <c r="B53" s="19"/>
      <c r="C53" s="19"/>
      <c r="D53" s="19"/>
      <c r="E53" s="19"/>
      <c r="F53" s="19"/>
      <c r="G53" s="19"/>
      <c r="H53" s="19"/>
      <c r="I53" s="19"/>
      <c r="J53" s="19"/>
      <c r="K53" s="19"/>
      <c r="L53" s="19"/>
      <c r="M53" s="19"/>
      <c r="N53" s="19"/>
      <c r="O53" s="19"/>
      <c r="P53" s="19"/>
      <c r="Q53" s="19"/>
    </row>
    <row r="54" spans="2:17" ht="15.75" customHeight="1" x14ac:dyDescent="0.3">
      <c r="B54" s="19"/>
      <c r="C54" s="19"/>
      <c r="D54" s="19"/>
      <c r="E54" s="19"/>
      <c r="F54" s="19"/>
      <c r="G54" s="19"/>
      <c r="H54" s="19"/>
      <c r="I54" s="19"/>
      <c r="J54" s="19"/>
      <c r="K54" s="19"/>
      <c r="L54" s="19"/>
      <c r="M54" s="19"/>
      <c r="N54" s="19"/>
      <c r="O54" s="19"/>
      <c r="P54" s="19"/>
      <c r="Q54" s="19"/>
    </row>
    <row r="55" spans="2:17" ht="15.75" customHeight="1" x14ac:dyDescent="0.3">
      <c r="B55" s="19"/>
      <c r="C55" s="19"/>
      <c r="D55" s="19"/>
      <c r="E55" s="19"/>
      <c r="F55" s="19"/>
      <c r="G55" s="19"/>
      <c r="H55" s="19"/>
      <c r="I55" s="19"/>
      <c r="J55" s="19"/>
      <c r="K55" s="19"/>
      <c r="L55" s="19"/>
      <c r="M55" s="19"/>
      <c r="N55" s="19"/>
      <c r="O55" s="19"/>
      <c r="P55" s="19"/>
      <c r="Q55" s="19"/>
    </row>
    <row r="56" spans="2:17" ht="15.75" customHeight="1" x14ac:dyDescent="0.3">
      <c r="B56" s="19"/>
      <c r="C56" s="19"/>
      <c r="D56" s="19"/>
      <c r="E56" s="19"/>
      <c r="F56" s="19"/>
      <c r="G56" s="19"/>
      <c r="H56" s="19"/>
      <c r="I56" s="19"/>
      <c r="J56" s="19"/>
      <c r="K56" s="19"/>
      <c r="L56" s="19"/>
      <c r="M56" s="19"/>
      <c r="N56" s="19"/>
      <c r="O56" s="19"/>
      <c r="P56" s="19"/>
      <c r="Q56" s="19"/>
    </row>
    <row r="57" spans="2:17" ht="15.75" customHeight="1" x14ac:dyDescent="0.3">
      <c r="B57" s="19"/>
      <c r="C57" s="19"/>
      <c r="D57" s="19"/>
      <c r="E57" s="19"/>
      <c r="F57" s="19"/>
      <c r="G57" s="19"/>
      <c r="H57" s="19"/>
      <c r="I57" s="19"/>
      <c r="J57" s="19"/>
      <c r="K57" s="19"/>
      <c r="L57" s="19"/>
      <c r="M57" s="19"/>
      <c r="N57" s="19"/>
      <c r="O57" s="19"/>
      <c r="P57" s="19"/>
      <c r="Q57" s="19"/>
    </row>
    <row r="58" spans="2:17" ht="15.75" customHeight="1" x14ac:dyDescent="0.25"/>
    <row r="59" spans="2:17" ht="15.75" customHeight="1" x14ac:dyDescent="0.25"/>
    <row r="60" spans="2:17" ht="15.75" customHeight="1" x14ac:dyDescent="0.25"/>
    <row r="61" spans="2:17" ht="15.75" customHeight="1" x14ac:dyDescent="0.25"/>
    <row r="62" spans="2:17" ht="15.75" customHeight="1" x14ac:dyDescent="0.25"/>
    <row r="63" spans="2:17" ht="15.75" customHeight="1" x14ac:dyDescent="0.25"/>
    <row r="64" spans="2:17"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B2:D8"/>
  </mergeCells>
  <dataValidations count="2">
    <dataValidation type="decimal" allowBlank="1" showErrorMessage="1" sqref="D15:D22" xr:uid="{00000000-0002-0000-0200-000000000000}">
      <formula1>0</formula1>
      <formula2>5</formula2>
    </dataValidation>
    <dataValidation type="decimal" allowBlank="1" showInputMessage="1" showErrorMessage="1" prompt="La evaluación mínima es 0 y máxima es 5" sqref="D41:D49" xr:uid="{00000000-0002-0000-0200-000001000000}">
      <formula1>0</formula1>
      <formula2>5</formula2>
    </dataValidation>
  </dataValidations>
  <pageMargins left="0.7" right="0.7" top="0.75" bottom="0.75" header="0" footer="0"/>
  <pageSetup orientation="landscape"/>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1000"/>
  <sheetViews>
    <sheetView topLeftCell="A22" workbookViewId="0">
      <selection activeCell="D26" sqref="D26"/>
    </sheetView>
  </sheetViews>
  <sheetFormatPr baseColWidth="10" defaultColWidth="12.59765625" defaultRowHeight="15" customHeight="1" x14ac:dyDescent="0.25"/>
  <cols>
    <col min="1" max="1" width="8.59765625" customWidth="1"/>
    <col min="2" max="2" width="31.8984375" customWidth="1"/>
    <col min="3" max="3" width="46.8984375" customWidth="1"/>
    <col min="4" max="4" width="24.8984375" customWidth="1"/>
    <col min="5" max="5" width="18.59765625" customWidth="1"/>
    <col min="6" max="6" width="19.69921875" customWidth="1"/>
    <col min="7" max="26" width="14.3984375" customWidth="1"/>
  </cols>
  <sheetData>
    <row r="2" spans="2:6" ht="36.75" customHeight="1" x14ac:dyDescent="0.25">
      <c r="C2" s="72" t="s">
        <v>47</v>
      </c>
      <c r="D2" s="73"/>
    </row>
    <row r="4" spans="2:6" ht="41.4" x14ac:dyDescent="0.3">
      <c r="B4" s="23" t="s">
        <v>48</v>
      </c>
      <c r="C4" s="24" t="s">
        <v>49</v>
      </c>
      <c r="F4" s="25"/>
    </row>
    <row r="5" spans="2:6" ht="41.4" x14ac:dyDescent="0.25">
      <c r="B5" s="23" t="s">
        <v>50</v>
      </c>
      <c r="C5" s="24" t="s">
        <v>51</v>
      </c>
    </row>
    <row r="6" spans="2:6" ht="69" x14ac:dyDescent="0.25">
      <c r="B6" s="23" t="s">
        <v>52</v>
      </c>
      <c r="C6" s="24" t="s">
        <v>53</v>
      </c>
    </row>
    <row r="7" spans="2:6" ht="13.8" x14ac:dyDescent="0.25">
      <c r="B7" s="23"/>
      <c r="C7" s="24"/>
    </row>
    <row r="8" spans="2:6" ht="13.8" x14ac:dyDescent="0.25">
      <c r="B8" s="23"/>
      <c r="C8" s="24"/>
    </row>
    <row r="9" spans="2:6" ht="14.4" x14ac:dyDescent="0.25">
      <c r="B9" s="23"/>
      <c r="C9" s="26"/>
      <c r="D9" s="74" t="s">
        <v>54</v>
      </c>
      <c r="E9" s="75"/>
    </row>
    <row r="10" spans="2:6" ht="26.25" customHeight="1" x14ac:dyDescent="0.25">
      <c r="B10" s="23"/>
      <c r="C10" s="23"/>
      <c r="D10" s="27" t="s">
        <v>48</v>
      </c>
      <c r="E10" s="27" t="s">
        <v>50</v>
      </c>
      <c r="F10" s="27" t="s">
        <v>52</v>
      </c>
    </row>
    <row r="11" spans="2:6" ht="13.8" x14ac:dyDescent="0.25">
      <c r="B11" s="23"/>
      <c r="C11" s="23"/>
    </row>
    <row r="12" spans="2:6" ht="14.4" x14ac:dyDescent="0.25">
      <c r="B12" s="23"/>
      <c r="C12" s="28" t="s">
        <v>55</v>
      </c>
      <c r="D12" s="29" t="s">
        <v>56</v>
      </c>
      <c r="E12" s="29" t="s">
        <v>57</v>
      </c>
      <c r="F12" s="29" t="s">
        <v>52</v>
      </c>
    </row>
    <row r="13" spans="2:6" ht="14.4" x14ac:dyDescent="0.3">
      <c r="B13" s="76" t="s">
        <v>12</v>
      </c>
      <c r="C13" s="30" t="s">
        <v>13</v>
      </c>
      <c r="D13" s="31">
        <v>5</v>
      </c>
      <c r="E13" s="31">
        <v>5</v>
      </c>
      <c r="F13" s="31" t="str">
        <f t="shared" ref="F13:F41" si="0">IF(E13=5,"OK",IF(D13=0,"Puede esperar",IF(AND(D13=5,E13=0),"Urgente","Importante")))</f>
        <v>OK</v>
      </c>
    </row>
    <row r="14" spans="2:6" ht="14.4" x14ac:dyDescent="0.3">
      <c r="B14" s="69"/>
      <c r="C14" s="30" t="s">
        <v>14</v>
      </c>
      <c r="D14" s="31">
        <v>5</v>
      </c>
      <c r="E14" s="31">
        <v>5</v>
      </c>
      <c r="F14" s="31" t="str">
        <f t="shared" si="0"/>
        <v>OK</v>
      </c>
    </row>
    <row r="15" spans="2:6" ht="14.4" x14ac:dyDescent="0.3">
      <c r="B15" s="69"/>
      <c r="C15" s="30" t="s">
        <v>15</v>
      </c>
      <c r="D15" s="31">
        <v>5</v>
      </c>
      <c r="E15" s="31">
        <v>5</v>
      </c>
      <c r="F15" s="31" t="str">
        <f t="shared" si="0"/>
        <v>OK</v>
      </c>
    </row>
    <row r="16" spans="2:6" ht="14.4" x14ac:dyDescent="0.3">
      <c r="B16" s="69"/>
      <c r="C16" s="30" t="s">
        <v>16</v>
      </c>
      <c r="D16" s="31">
        <v>5</v>
      </c>
      <c r="E16" s="31">
        <v>5</v>
      </c>
      <c r="F16" s="31" t="str">
        <f t="shared" si="0"/>
        <v>OK</v>
      </c>
    </row>
    <row r="17" spans="2:6" ht="14.4" x14ac:dyDescent="0.3">
      <c r="B17" s="69"/>
      <c r="C17" s="30" t="s">
        <v>17</v>
      </c>
      <c r="D17" s="31">
        <v>5</v>
      </c>
      <c r="E17" s="31">
        <v>5</v>
      </c>
      <c r="F17" s="31" t="str">
        <f t="shared" si="0"/>
        <v>OK</v>
      </c>
    </row>
    <row r="18" spans="2:6" ht="14.4" x14ac:dyDescent="0.3">
      <c r="B18" s="69"/>
      <c r="C18" s="30" t="s">
        <v>18</v>
      </c>
      <c r="D18" s="31">
        <v>5</v>
      </c>
      <c r="E18" s="31">
        <v>5</v>
      </c>
      <c r="F18" s="31" t="str">
        <f t="shared" si="0"/>
        <v>OK</v>
      </c>
    </row>
    <row r="19" spans="2:6" ht="14.4" x14ac:dyDescent="0.3">
      <c r="B19" s="70"/>
      <c r="C19" s="30" t="s">
        <v>19</v>
      </c>
      <c r="D19" s="31">
        <v>5</v>
      </c>
      <c r="E19" s="31">
        <v>3</v>
      </c>
      <c r="F19" s="31" t="str">
        <f t="shared" si="0"/>
        <v>Importante</v>
      </c>
    </row>
    <row r="20" spans="2:6" ht="14.4" x14ac:dyDescent="0.3">
      <c r="B20" s="77" t="s">
        <v>20</v>
      </c>
      <c r="C20" s="32" t="s">
        <v>21</v>
      </c>
      <c r="D20" s="31">
        <v>5</v>
      </c>
      <c r="E20" s="31">
        <v>3</v>
      </c>
      <c r="F20" s="31" t="str">
        <f t="shared" si="0"/>
        <v>Importante</v>
      </c>
    </row>
    <row r="21" spans="2:6" ht="15.75" customHeight="1" x14ac:dyDescent="0.3">
      <c r="B21" s="70"/>
      <c r="C21" s="32" t="s">
        <v>22</v>
      </c>
      <c r="D21" s="31">
        <v>5</v>
      </c>
      <c r="E21" s="31">
        <v>5</v>
      </c>
      <c r="F21" s="31" t="str">
        <f t="shared" si="0"/>
        <v>OK</v>
      </c>
    </row>
    <row r="22" spans="2:6" ht="15.75" customHeight="1" x14ac:dyDescent="0.3">
      <c r="B22" s="76" t="s">
        <v>23</v>
      </c>
      <c r="C22" s="32" t="s">
        <v>24</v>
      </c>
      <c r="D22" s="31">
        <v>5</v>
      </c>
      <c r="E22" s="31">
        <v>3</v>
      </c>
      <c r="F22" s="31" t="str">
        <f t="shared" si="0"/>
        <v>Importante</v>
      </c>
    </row>
    <row r="23" spans="2:6" ht="15.75" customHeight="1" x14ac:dyDescent="0.3">
      <c r="B23" s="69"/>
      <c r="C23" s="32" t="s">
        <v>25</v>
      </c>
      <c r="D23" s="31">
        <v>5</v>
      </c>
      <c r="E23" s="31">
        <v>3</v>
      </c>
      <c r="F23" s="31" t="str">
        <f t="shared" si="0"/>
        <v>Importante</v>
      </c>
    </row>
    <row r="24" spans="2:6" ht="15.75" customHeight="1" x14ac:dyDescent="0.3">
      <c r="B24" s="70"/>
      <c r="C24" s="32" t="s">
        <v>26</v>
      </c>
      <c r="D24" s="31">
        <v>5</v>
      </c>
      <c r="E24" s="31">
        <v>3</v>
      </c>
      <c r="F24" s="31" t="str">
        <f t="shared" si="0"/>
        <v>Importante</v>
      </c>
    </row>
    <row r="25" spans="2:6" ht="15.75" customHeight="1" x14ac:dyDescent="0.3">
      <c r="B25" s="68" t="s">
        <v>28</v>
      </c>
      <c r="C25" s="33" t="s">
        <v>29</v>
      </c>
      <c r="D25" s="31">
        <v>5</v>
      </c>
      <c r="E25" s="31">
        <v>5</v>
      </c>
      <c r="F25" s="31" t="str">
        <f t="shared" si="0"/>
        <v>OK</v>
      </c>
    </row>
    <row r="26" spans="2:6" ht="15.75" customHeight="1" x14ac:dyDescent="0.3">
      <c r="B26" s="69"/>
      <c r="C26" s="33" t="s">
        <v>30</v>
      </c>
      <c r="D26" s="31">
        <v>5</v>
      </c>
      <c r="E26" s="31">
        <v>5</v>
      </c>
      <c r="F26" s="31" t="str">
        <f t="shared" si="0"/>
        <v>OK</v>
      </c>
    </row>
    <row r="27" spans="2:6" ht="15.75" customHeight="1" x14ac:dyDescent="0.3">
      <c r="B27" s="69"/>
      <c r="C27" s="33" t="s">
        <v>31</v>
      </c>
      <c r="D27" s="31">
        <v>5</v>
      </c>
      <c r="E27" s="31">
        <v>5</v>
      </c>
      <c r="F27" s="31" t="str">
        <f t="shared" si="0"/>
        <v>OK</v>
      </c>
    </row>
    <row r="28" spans="2:6" ht="15.75" customHeight="1" x14ac:dyDescent="0.3">
      <c r="B28" s="69"/>
      <c r="C28" s="33" t="s">
        <v>32</v>
      </c>
      <c r="D28" s="31">
        <v>5</v>
      </c>
      <c r="E28" s="31">
        <v>5</v>
      </c>
      <c r="F28" s="31" t="str">
        <f t="shared" si="0"/>
        <v>OK</v>
      </c>
    </row>
    <row r="29" spans="2:6" ht="15.75" customHeight="1" x14ac:dyDescent="0.3">
      <c r="B29" s="69"/>
      <c r="C29" s="33" t="s">
        <v>33</v>
      </c>
      <c r="D29" s="31">
        <v>5</v>
      </c>
      <c r="E29" s="31">
        <v>5</v>
      </c>
      <c r="F29" s="31" t="str">
        <f t="shared" si="0"/>
        <v>OK</v>
      </c>
    </row>
    <row r="30" spans="2:6" ht="15.75" customHeight="1" x14ac:dyDescent="0.3">
      <c r="B30" s="69"/>
      <c r="C30" s="33" t="s">
        <v>34</v>
      </c>
      <c r="D30" s="31">
        <v>5</v>
      </c>
      <c r="E30" s="31">
        <v>5</v>
      </c>
      <c r="F30" s="31" t="str">
        <f t="shared" si="0"/>
        <v>OK</v>
      </c>
    </row>
    <row r="31" spans="2:6" ht="15.75" customHeight="1" x14ac:dyDescent="0.3">
      <c r="B31" s="69"/>
      <c r="C31" s="33" t="s">
        <v>35</v>
      </c>
      <c r="D31" s="31">
        <v>5</v>
      </c>
      <c r="E31" s="31">
        <v>5</v>
      </c>
      <c r="F31" s="31" t="str">
        <f t="shared" si="0"/>
        <v>OK</v>
      </c>
    </row>
    <row r="32" spans="2:6" ht="15.75" customHeight="1" x14ac:dyDescent="0.3">
      <c r="B32" s="70"/>
      <c r="C32" s="33" t="s">
        <v>36</v>
      </c>
      <c r="D32" s="31">
        <v>5</v>
      </c>
      <c r="E32" s="31">
        <v>5</v>
      </c>
      <c r="F32" s="31" t="str">
        <f t="shared" si="0"/>
        <v>OK</v>
      </c>
    </row>
    <row r="33" spans="2:6" ht="15.75" customHeight="1" x14ac:dyDescent="0.3">
      <c r="B33" s="71" t="s">
        <v>37</v>
      </c>
      <c r="C33" s="34" t="s">
        <v>38</v>
      </c>
      <c r="D33" s="31">
        <v>5</v>
      </c>
      <c r="E33" s="31">
        <v>5</v>
      </c>
      <c r="F33" s="31" t="str">
        <f t="shared" si="0"/>
        <v>OK</v>
      </c>
    </row>
    <row r="34" spans="2:6" ht="15.75" customHeight="1" x14ac:dyDescent="0.3">
      <c r="B34" s="69"/>
      <c r="C34" s="34" t="s">
        <v>39</v>
      </c>
      <c r="D34" s="31">
        <v>5</v>
      </c>
      <c r="E34" s="31">
        <v>5</v>
      </c>
      <c r="F34" s="31" t="str">
        <f t="shared" si="0"/>
        <v>OK</v>
      </c>
    </row>
    <row r="35" spans="2:6" ht="15.75" customHeight="1" x14ac:dyDescent="0.3">
      <c r="B35" s="69"/>
      <c r="C35" s="34" t="s">
        <v>40</v>
      </c>
      <c r="D35" s="31">
        <v>5</v>
      </c>
      <c r="E35" s="31">
        <v>5</v>
      </c>
      <c r="F35" s="31" t="str">
        <f t="shared" si="0"/>
        <v>OK</v>
      </c>
    </row>
    <row r="36" spans="2:6" ht="15.75" customHeight="1" x14ac:dyDescent="0.3">
      <c r="B36" s="69"/>
      <c r="C36" s="34" t="s">
        <v>41</v>
      </c>
      <c r="D36" s="31">
        <v>5</v>
      </c>
      <c r="E36" s="31">
        <v>3</v>
      </c>
      <c r="F36" s="31" t="str">
        <f t="shared" si="0"/>
        <v>Importante</v>
      </c>
    </row>
    <row r="37" spans="2:6" ht="15.75" customHeight="1" x14ac:dyDescent="0.3">
      <c r="B37" s="69"/>
      <c r="C37" s="34" t="s">
        <v>42</v>
      </c>
      <c r="D37" s="31">
        <v>5</v>
      </c>
      <c r="E37" s="31">
        <v>5</v>
      </c>
      <c r="F37" s="31" t="str">
        <f t="shared" si="0"/>
        <v>OK</v>
      </c>
    </row>
    <row r="38" spans="2:6" ht="15.75" customHeight="1" x14ac:dyDescent="0.3">
      <c r="B38" s="69"/>
      <c r="C38" s="34" t="s">
        <v>43</v>
      </c>
      <c r="D38" s="31">
        <v>5</v>
      </c>
      <c r="E38" s="31">
        <v>3</v>
      </c>
      <c r="F38" s="31" t="str">
        <f t="shared" si="0"/>
        <v>Importante</v>
      </c>
    </row>
    <row r="39" spans="2:6" ht="15.75" customHeight="1" x14ac:dyDescent="0.3">
      <c r="B39" s="69"/>
      <c r="C39" s="34" t="s">
        <v>44</v>
      </c>
      <c r="D39" s="31">
        <v>5</v>
      </c>
      <c r="E39" s="31">
        <v>5</v>
      </c>
      <c r="F39" s="31" t="str">
        <f t="shared" si="0"/>
        <v>OK</v>
      </c>
    </row>
    <row r="40" spans="2:6" ht="15.75" customHeight="1" x14ac:dyDescent="0.3">
      <c r="B40" s="69"/>
      <c r="C40" s="34" t="s">
        <v>45</v>
      </c>
      <c r="D40" s="31">
        <v>5</v>
      </c>
      <c r="E40" s="31">
        <v>5</v>
      </c>
      <c r="F40" s="31" t="str">
        <f t="shared" si="0"/>
        <v>OK</v>
      </c>
    </row>
    <row r="41" spans="2:6" ht="15.75" customHeight="1" x14ac:dyDescent="0.3">
      <c r="B41" s="69"/>
      <c r="C41" s="34" t="s">
        <v>46</v>
      </c>
      <c r="D41" s="31">
        <v>5</v>
      </c>
      <c r="E41" s="31">
        <v>5</v>
      </c>
      <c r="F41" s="31" t="str">
        <f t="shared" si="0"/>
        <v>OK</v>
      </c>
    </row>
    <row r="42" spans="2:6" ht="15.75" customHeight="1" x14ac:dyDescent="0.25"/>
    <row r="43" spans="2:6" ht="15.75" customHeight="1" x14ac:dyDescent="0.25"/>
    <row r="44" spans="2:6" ht="15.75" customHeight="1" x14ac:dyDescent="0.25"/>
    <row r="45" spans="2:6" ht="15.75" customHeight="1" x14ac:dyDescent="0.25"/>
    <row r="46" spans="2:6" ht="15.75" customHeight="1" x14ac:dyDescent="0.25"/>
    <row r="47" spans="2:6" ht="15.75" customHeight="1" x14ac:dyDescent="0.25"/>
    <row r="48" spans="2: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7">
    <mergeCell ref="B25:B32"/>
    <mergeCell ref="B33:B41"/>
    <mergeCell ref="C2:D2"/>
    <mergeCell ref="D9:E9"/>
    <mergeCell ref="B13:B19"/>
    <mergeCell ref="B20:B21"/>
    <mergeCell ref="B22:B24"/>
  </mergeCells>
  <dataValidations count="1">
    <dataValidation type="list" allowBlank="1" showErrorMessage="1" sqref="D13:E41" xr:uid="{00000000-0002-0000-0300-000000000000}">
      <formula1>"0,3,5"</formula1>
    </dataValidation>
  </dataValidation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1000"/>
  <sheetViews>
    <sheetView workbookViewId="0">
      <selection activeCell="B21" sqref="B21"/>
    </sheetView>
  </sheetViews>
  <sheetFormatPr baseColWidth="10" defaultColWidth="12.59765625" defaultRowHeight="15" customHeight="1" x14ac:dyDescent="0.25"/>
  <cols>
    <col min="1" max="1" width="44.8984375" customWidth="1"/>
    <col min="2" max="2" width="46.09765625" customWidth="1"/>
    <col min="3" max="6" width="8.59765625" customWidth="1"/>
    <col min="7" max="26" width="14.3984375" customWidth="1"/>
  </cols>
  <sheetData>
    <row r="3" spans="1:2" ht="14.4" x14ac:dyDescent="0.3">
      <c r="A3" s="1"/>
      <c r="B3" s="1"/>
    </row>
    <row r="4" spans="1:2" ht="13.8" x14ac:dyDescent="0.25">
      <c r="A4" s="48" t="s">
        <v>52</v>
      </c>
      <c r="B4" s="49" t="s">
        <v>55</v>
      </c>
    </row>
    <row r="5" spans="1:2" ht="13.8" x14ac:dyDescent="0.25">
      <c r="A5" s="50" t="s">
        <v>58</v>
      </c>
      <c r="B5" s="51" t="s">
        <v>24</v>
      </c>
    </row>
    <row r="6" spans="1:2" ht="13.8" x14ac:dyDescent="0.25">
      <c r="A6" s="52"/>
      <c r="B6" s="53" t="s">
        <v>25</v>
      </c>
    </row>
    <row r="7" spans="1:2" ht="13.8" x14ac:dyDescent="0.25">
      <c r="A7" s="52"/>
      <c r="B7" s="53" t="s">
        <v>21</v>
      </c>
    </row>
    <row r="8" spans="1:2" ht="13.8" x14ac:dyDescent="0.25">
      <c r="A8" s="52"/>
      <c r="B8" s="53" t="s">
        <v>41</v>
      </c>
    </row>
    <row r="9" spans="1:2" ht="13.8" x14ac:dyDescent="0.25">
      <c r="A9" s="52"/>
      <c r="B9" s="53" t="s">
        <v>26</v>
      </c>
    </row>
    <row r="10" spans="1:2" ht="13.8" x14ac:dyDescent="0.25">
      <c r="A10" s="52"/>
      <c r="B10" s="53" t="s">
        <v>19</v>
      </c>
    </row>
    <row r="11" spans="1:2" ht="13.8" x14ac:dyDescent="0.25">
      <c r="A11" s="52"/>
      <c r="B11" s="53" t="s">
        <v>43</v>
      </c>
    </row>
    <row r="12" spans="1:2" ht="13.8" x14ac:dyDescent="0.25">
      <c r="A12" s="54" t="s">
        <v>98</v>
      </c>
      <c r="B12" s="55"/>
    </row>
    <row r="13" spans="1:2" ht="13.8" x14ac:dyDescent="0.25"/>
    <row r="14" spans="1:2" ht="13.8" x14ac:dyDescent="0.25"/>
    <row r="15" spans="1:2" ht="13.8" x14ac:dyDescent="0.25"/>
    <row r="16" spans="1:2" ht="13.8" x14ac:dyDescent="0.25"/>
    <row r="17" ht="13.8" x14ac:dyDescent="0.25"/>
    <row r="18" ht="13.8" x14ac:dyDescent="0.25"/>
    <row r="19" ht="13.8" x14ac:dyDescent="0.25"/>
    <row r="20" ht="13.8"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I1000"/>
  <sheetViews>
    <sheetView tabSelected="1" topLeftCell="E2" workbookViewId="0">
      <selection activeCell="H12" sqref="H12"/>
    </sheetView>
  </sheetViews>
  <sheetFormatPr baseColWidth="10" defaultColWidth="12.59765625" defaultRowHeight="15" customHeight="1" x14ac:dyDescent="0.25"/>
  <cols>
    <col min="1" max="1" width="3.19921875" customWidth="1"/>
    <col min="2" max="2" width="47.19921875" customWidth="1"/>
    <col min="3" max="3" width="60" customWidth="1"/>
    <col min="4" max="4" width="33" customWidth="1"/>
    <col min="5" max="5" width="52.09765625" customWidth="1"/>
    <col min="6" max="6" width="37.59765625" customWidth="1"/>
    <col min="7" max="7" width="40.8984375" customWidth="1"/>
    <col min="8" max="8" width="37.69921875" customWidth="1"/>
    <col min="9" max="9" width="55.5" customWidth="1"/>
    <col min="10" max="26" width="14.3984375" customWidth="1"/>
  </cols>
  <sheetData>
    <row r="2" spans="2:9" ht="43.8" x14ac:dyDescent="0.75">
      <c r="B2" s="57" t="s">
        <v>59</v>
      </c>
      <c r="C2" s="58"/>
      <c r="D2" s="58"/>
      <c r="E2" s="58"/>
      <c r="F2" s="58"/>
      <c r="G2" s="58"/>
    </row>
    <row r="4" spans="2:9" ht="15.6" x14ac:dyDescent="0.25">
      <c r="B4" s="36" t="s">
        <v>60</v>
      </c>
      <c r="C4" s="37" t="s">
        <v>61</v>
      </c>
      <c r="D4" s="37" t="s">
        <v>62</v>
      </c>
      <c r="E4" s="38" t="s">
        <v>63</v>
      </c>
      <c r="F4" s="39" t="s">
        <v>64</v>
      </c>
      <c r="G4" s="39" t="s">
        <v>65</v>
      </c>
      <c r="H4" s="59" t="s">
        <v>99</v>
      </c>
      <c r="I4" s="60"/>
    </row>
    <row r="5" spans="2:9" x14ac:dyDescent="0.25">
      <c r="B5" s="40"/>
      <c r="C5" s="41" t="s">
        <v>66</v>
      </c>
      <c r="D5" s="41" t="s">
        <v>67</v>
      </c>
      <c r="E5" s="42"/>
      <c r="F5" s="43"/>
      <c r="G5" s="43"/>
    </row>
    <row r="6" spans="2:9" ht="14.4" x14ac:dyDescent="0.3">
      <c r="B6" s="44" t="s">
        <v>24</v>
      </c>
      <c r="C6" s="45" t="s">
        <v>68</v>
      </c>
      <c r="D6" s="45" t="s">
        <v>69</v>
      </c>
      <c r="E6" s="45" t="s">
        <v>70</v>
      </c>
      <c r="F6" s="46" t="s">
        <v>71</v>
      </c>
      <c r="G6" s="46" t="s">
        <v>72</v>
      </c>
      <c r="H6" s="79" t="s">
        <v>106</v>
      </c>
      <c r="I6" s="60"/>
    </row>
    <row r="7" spans="2:9" ht="14.4" x14ac:dyDescent="0.3">
      <c r="B7" s="47" t="s">
        <v>25</v>
      </c>
      <c r="C7" s="45" t="s">
        <v>73</v>
      </c>
      <c r="D7" s="45" t="s">
        <v>74</v>
      </c>
      <c r="E7" s="45" t="s">
        <v>75</v>
      </c>
      <c r="F7" s="46" t="s">
        <v>71</v>
      </c>
      <c r="G7" s="46" t="s">
        <v>76</v>
      </c>
      <c r="H7" s="80" t="s">
        <v>100</v>
      </c>
      <c r="I7" s="56"/>
    </row>
    <row r="8" spans="2:9" ht="14.4" x14ac:dyDescent="0.3">
      <c r="B8" s="47" t="s">
        <v>17</v>
      </c>
      <c r="C8" s="45" t="s">
        <v>77</v>
      </c>
      <c r="D8" s="45" t="s">
        <v>78</v>
      </c>
      <c r="E8" s="45" t="s">
        <v>79</v>
      </c>
      <c r="F8" s="46" t="s">
        <v>71</v>
      </c>
      <c r="G8" s="46" t="s">
        <v>80</v>
      </c>
      <c r="H8" s="80" t="s">
        <v>101</v>
      </c>
      <c r="I8" s="56"/>
    </row>
    <row r="9" spans="2:9" ht="14.4" x14ac:dyDescent="0.3">
      <c r="B9" s="47" t="s">
        <v>44</v>
      </c>
      <c r="C9" s="45" t="s">
        <v>81</v>
      </c>
      <c r="D9" s="45" t="s">
        <v>82</v>
      </c>
      <c r="E9" s="45" t="s">
        <v>83</v>
      </c>
      <c r="F9" s="46" t="s">
        <v>71</v>
      </c>
      <c r="G9" s="46" t="s">
        <v>84</v>
      </c>
      <c r="H9" s="80" t="s">
        <v>102</v>
      </c>
      <c r="I9" s="56"/>
    </row>
    <row r="10" spans="2:9" ht="14.4" x14ac:dyDescent="0.3">
      <c r="B10" s="47" t="s">
        <v>26</v>
      </c>
      <c r="C10" s="45" t="s">
        <v>85</v>
      </c>
      <c r="D10" s="45" t="s">
        <v>74</v>
      </c>
      <c r="E10" s="45" t="s">
        <v>75</v>
      </c>
      <c r="F10" s="46" t="s">
        <v>71</v>
      </c>
      <c r="G10" s="46" t="s">
        <v>86</v>
      </c>
      <c r="H10" s="80" t="s">
        <v>103</v>
      </c>
      <c r="I10" s="56"/>
    </row>
    <row r="11" spans="2:9" ht="14.4" x14ac:dyDescent="0.3">
      <c r="B11" s="47" t="s">
        <v>46</v>
      </c>
      <c r="C11" s="46" t="s">
        <v>87</v>
      </c>
      <c r="D11" s="46" t="s">
        <v>88</v>
      </c>
      <c r="E11" s="46" t="s">
        <v>89</v>
      </c>
      <c r="F11" s="46" t="s">
        <v>71</v>
      </c>
      <c r="G11" s="46" t="s">
        <v>90</v>
      </c>
      <c r="H11" s="80" t="s">
        <v>107</v>
      </c>
      <c r="I11" s="56"/>
    </row>
    <row r="12" spans="2:9" ht="14.4" x14ac:dyDescent="0.3">
      <c r="B12" s="47" t="s">
        <v>33</v>
      </c>
      <c r="C12" s="46" t="s">
        <v>91</v>
      </c>
      <c r="D12" s="46" t="s">
        <v>92</v>
      </c>
      <c r="E12" s="46" t="s">
        <v>93</v>
      </c>
      <c r="F12" s="46" t="s">
        <v>71</v>
      </c>
      <c r="G12" s="35" t="s">
        <v>94</v>
      </c>
      <c r="H12" s="80" t="s">
        <v>104</v>
      </c>
      <c r="I12" s="56"/>
    </row>
    <row r="13" spans="2:9" ht="14.4" x14ac:dyDescent="0.3">
      <c r="B13" s="47" t="s">
        <v>43</v>
      </c>
      <c r="C13" s="46" t="s">
        <v>95</v>
      </c>
      <c r="D13" s="46" t="s">
        <v>82</v>
      </c>
      <c r="E13" s="46" t="s">
        <v>96</v>
      </c>
      <c r="F13" s="46" t="s">
        <v>71</v>
      </c>
      <c r="G13" s="46" t="s">
        <v>97</v>
      </c>
      <c r="H13" s="81" t="s">
        <v>105</v>
      </c>
      <c r="I13" s="78"/>
    </row>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B2:G2"/>
    <mergeCell ref="H4:I4"/>
    <mergeCell ref="H6:I6"/>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Portada</vt:lpstr>
      <vt:lpstr>Habilidades Gestión</vt:lpstr>
      <vt:lpstr>Habilidades Técnicas</vt:lpstr>
      <vt:lpstr>Matriz de priorización</vt:lpstr>
      <vt:lpstr>PivotTable</vt:lpstr>
      <vt:lpstr>Plan de Aprendizaje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 Nastul</cp:lastModifiedBy>
  <dcterms:modified xsi:type="dcterms:W3CDTF">2026-04-12T17:30:10Z</dcterms:modified>
</cp:coreProperties>
</file>